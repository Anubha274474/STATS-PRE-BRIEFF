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xcel assignment\"/>
    </mc:Choice>
  </mc:AlternateContent>
  <xr:revisionPtr revIDLastSave="0" documentId="8_{5F3C31D3-90E0-46BC-9315-0E1D75B6C0B4}" xr6:coauthVersionLast="47" xr6:coauthVersionMax="47" xr10:uidLastSave="{00000000-0000-0000-0000-000000000000}"/>
  <bookViews>
    <workbookView xWindow="-108" yWindow="-108" windowWidth="23256" windowHeight="12456" activeTab="7" xr2:uid="{165DA532-94EE-4DEE-B402-8F87AE6AE56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chart.v1.0" hidden="1">Sheet2!$B$3:$B$103</definedName>
    <definedName name="_xlchart.v1.1" hidden="1">Sheet2!$B$3:$B$103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8" l="1" a="1"/>
  <c r="B16" i="8" s="1"/>
  <c r="C7" i="7"/>
  <c r="B9" i="3"/>
  <c r="B3" i="2" a="1"/>
  <c r="B3" i="2" s="1"/>
  <c r="B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<sst xmlns="http://schemas.openxmlformats.org/spreadsheetml/2006/main" count="87" uniqueCount="81">
  <si>
    <t>Question1</t>
  </si>
  <si>
    <t>Simulate 30 rolls with =RANDBETWEEN(1,6). What is the probability of rolling a 3 exactly 5 times? (Hint: Use BINOM.DIST)</t>
  </si>
  <si>
    <t>Answer=</t>
  </si>
  <si>
    <t>Generate 100 values in Excel using the continuous uniform distribution RAND() and plot a histogram. Describe the shape of the distribution.</t>
  </si>
  <si>
    <t>Question2</t>
  </si>
  <si>
    <t>Answer-</t>
  </si>
  <si>
    <t>Number of trials(n)-</t>
  </si>
  <si>
    <t>Number of success k-</t>
  </si>
  <si>
    <t>Pobability of success (rolling 3 in a 6-sided die),</t>
  </si>
  <si>
    <t>p=</t>
  </si>
  <si>
    <t>total sides</t>
  </si>
  <si>
    <t>The histogram in the image shows a distribution that is approximately uniform (or rectangular).</t>
  </si>
  <si>
    <t>In a continuous uniform distribution generated by  RAND() function, values are spread evenly between 0 and 1, so the histogram should have roughly equal heights in each bin, indicating no particular skew or concentration in any interval.</t>
  </si>
  <si>
    <t xml:space="preserve">Question 3-A dataset has a mean of 50 and a standard deviation of 5. What percentage of values lie between 45 and </t>
  </si>
  <si>
    <t>55 if the data follows a normal distribution? </t>
  </si>
  <si>
    <t>MEAN-</t>
  </si>
  <si>
    <t>SD-</t>
  </si>
  <si>
    <t>Values that lies between 45 to 55.</t>
  </si>
  <si>
    <t>or(68.26%)</t>
  </si>
  <si>
    <t xml:space="preserve">Questions 4-What is the concept of standardization (z-score), and why is it important in data analysis? Explain the </t>
  </si>
  <si>
    <t>formula and how standardization transforms a dataset. </t>
  </si>
  <si>
    <t>Standardization (Z-Score): Concept and Importance</t>
  </si>
  <si>
    <t>What is Standardization?</t>
  </si>
  <si>
    <t>Standardization is the process of transforming data into a common scale with a mean of 0 and a standard deviation of 1. This is achieved by converting data points to Z-scores.</t>
  </si>
  <si>
    <t>Formula for Z-Score</t>
  </si>
  <si>
    <t>For a data point $X$, the Z-score is:</t>
  </si>
  <si>
    <t>$$Z = \frac{X - \mu}{\sigma}$$</t>
  </si>
  <si>
    <t>where:</t>
  </si>
  <si>
    <t>- $X$ = data point,</t>
  </si>
  <si>
    <t>- $\mu$ = mean of the dataset,</t>
  </si>
  <si>
    <t>- $\sigma$ = standard deviation of the dataset.</t>
  </si>
  <si>
    <t>How Standardization Transforms Data</t>
  </si>
  <si>
    <t>1. Centers the data: Shifts the mean to 0.</t>
  </si>
  <si>
    <t>2. Scales the data: Expresses values in terms of standard deviations.</t>
  </si>
  <si>
    <t>3. Unitless: Z-scores have no units, making comparisons easier.</t>
  </si>
  <si>
    <t>Why is Standardization Important?</t>
  </si>
  <si>
    <t>1. Comparability: Allows comparison of scores from different distributions (e.g., test scores with different scales).</t>
  </si>
  <si>
    <t>2. Outlier detection: Z-scores &gt;3 or &lt;-3 often indicate outliers.</t>
  </si>
  <si>
    <t>3. Machine learning: Many algorithms (e.g., SVM, KNN) perform better with standardized data.</t>
  </si>
  <si>
    <t>4. Interpretability: Makes it easy to understand how extreme a value is.</t>
  </si>
  <si>
    <t>Example</t>
  </si>
  <si>
    <t>For a score $X = 70$, $\mu = 50$, $\sigma = 10$:</t>
  </si>
  <si>
    <t>$$Z = \frac{70 - 50}{10} = 2$$</t>
  </si>
  <si>
    <t>This means the score is 2 standard deviations above the mean.</t>
  </si>
  <si>
    <t>Question5-What is Kurtosis and their type?</t>
  </si>
  <si>
    <t>Kurtosis: What It Is and Types</t>
  </si>
  <si>
    <t>Kurtosis is a statistical measure that describes the "tailedness" of a distribution, focusing on the presence of extreme values (outliers) in the tails.</t>
  </si>
  <si>
    <t>Types of Kurtosis</t>
  </si>
  <si>
    <t>1. Mesokurtic (Kurtosis ≈ 3, e.g., normal distribution)</t>
  </si>
  <si>
    <t xml:space="preserve">    - Tails are similar to a normal distribution.</t>
  </si>
  <si>
    <t xml:space="preserve">    - No extreme outliers.</t>
  </si>
  <si>
    <t>2. Leptokurtic (Kurtosis &gt; 3)</t>
  </si>
  <si>
    <t xml:space="preserve">    - Heavy tails → more outliers.</t>
  </si>
  <si>
    <t xml:space="preserve">    - Sharp peak.</t>
  </si>
  <si>
    <t xml:space="preserve">    - Example: stock returns (often have extreme values).</t>
  </si>
  <si>
    <t>3. Platykurtic (Kurtosis &lt; 3)</t>
  </si>
  <si>
    <t xml:space="preserve">    - Light tails → fewer outliers.</t>
  </si>
  <si>
    <t xml:space="preserve">    - Flatter shape.</t>
  </si>
  <si>
    <t xml:space="preserve">    - Example: uniform distribution.</t>
  </si>
  <si>
    <t>Key Points</t>
  </si>
  <si>
    <t>- High kurtosis = more extreme values (riskier in finance).</t>
  </si>
  <si>
    <t>- Low kurtosis = fewer outliers, more stable.</t>
  </si>
  <si>
    <t>Question6-Explain why the uniform distribution is a good model for the outcome of rolling a fair die.</t>
  </si>
  <si>
    <t>The uniform distribution is a good model for the outcome of rolling a fair die because:</t>
  </si>
  <si>
    <t>1. Equal probabilities: Each face (1, 2, 3, 4, 5, 6) has an equal chance of landing, i.e., 1/6.</t>
  </si>
  <si>
    <t>2. Discrete outcomes: The result is one of six distinct values, fitting a discrete uniform distribution.</t>
  </si>
  <si>
    <t>Question 7-Use Excel to compute the probability of getting at least 8 successes in 15 trials with success probability 0.5?</t>
  </si>
  <si>
    <t>total trials=</t>
  </si>
  <si>
    <t>total success=</t>
  </si>
  <si>
    <t>prob=</t>
  </si>
  <si>
    <t>Question8=How does log transformation help in stabilizing variance and making data more normally distributed.</t>
  </si>
  <si>
    <t>Log Transformation: Benefits</t>
  </si>
  <si>
    <t>1. Stabilizes Variance</t>
  </si>
  <si>
    <t xml:space="preserve">    - Often used when data has increasing variance with larger values (e.g., financial data, skewed measurements).</t>
  </si>
  <si>
    <t xml:space="preserve">    - Compresses large values more than small ones → reduces heteroscedasticity.</t>
  </si>
  <si>
    <t>2. Normalizes Distribution</t>
  </si>
  <si>
    <t xml:space="preserve">    - For right-skewed data (e.g., income, reaction times), log transform can make it more symmetric (closer to normal).</t>
  </si>
  <si>
    <t>3. Interpretation</t>
  </si>
  <si>
    <t xml:space="preserve">    - Coefficients in regression become multiplicative effects on the original scale (useful in economics, biology).</t>
  </si>
  <si>
    <t>When to Use</t>
  </si>
  <si>
    <t>- Variance increases with the mean (e.g., larger values have more spread).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</si>
</sst>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85D37A64-260B-42D6-AD18-C03885DEABF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4</xdr:row>
      <xdr:rowOff>34290</xdr:rowOff>
    </xdr:from>
    <xdr:to>
      <xdr:col>11</xdr:col>
      <xdr:colOff>579120</xdr:colOff>
      <xdr:row>19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0BA1118-0E12-B2BA-697D-BB14417C86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12720" y="7658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F16C-2118-4C9F-B34F-8C08EFFF47DF}">
  <dimension ref="A1:D9"/>
  <sheetViews>
    <sheetView workbookViewId="0">
      <selection activeCell="J11" sqref="J11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3" spans="1:4" x14ac:dyDescent="0.3">
      <c r="A3" t="s">
        <v>2</v>
      </c>
      <c r="B3" t="s">
        <v>6</v>
      </c>
      <c r="D3">
        <v>30</v>
      </c>
    </row>
    <row r="4" spans="1:4" x14ac:dyDescent="0.3">
      <c r="B4" t="s">
        <v>7</v>
      </c>
      <c r="D4">
        <v>5</v>
      </c>
    </row>
    <row r="5" spans="1:4" x14ac:dyDescent="0.3">
      <c r="B5" t="s">
        <v>8</v>
      </c>
    </row>
    <row r="6" spans="1:4" x14ac:dyDescent="0.3">
      <c r="B6" t="s">
        <v>9</v>
      </c>
      <c r="C6">
        <v>1</v>
      </c>
      <c r="D6" s="1"/>
    </row>
    <row r="7" spans="1:4" x14ac:dyDescent="0.3">
      <c r="B7" t="s">
        <v>10</v>
      </c>
      <c r="C7">
        <v>6</v>
      </c>
    </row>
    <row r="9" spans="1:4" x14ac:dyDescent="0.3">
      <c r="B9">
        <f>_xlfn.BINOM.DIST(D4,D3,C6/C7,FALSE)</f>
        <v>0.19210813105163416</v>
      </c>
      <c r="C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7F96-A58B-47EA-BEA3-66A31522964F}">
  <dimension ref="A1:E103"/>
  <sheetViews>
    <sheetView topLeftCell="A4" workbookViewId="0">
      <selection activeCell="I25" sqref="I25"/>
    </sheetView>
  </sheetViews>
  <sheetFormatPr defaultRowHeight="14.4" x14ac:dyDescent="0.3"/>
  <sheetData>
    <row r="1" spans="1:2" x14ac:dyDescent="0.3">
      <c r="A1" t="s">
        <v>4</v>
      </c>
      <c r="B1" t="s">
        <v>3</v>
      </c>
    </row>
    <row r="3" spans="1:2" x14ac:dyDescent="0.3">
      <c r="A3" t="s">
        <v>5</v>
      </c>
      <c r="B3" cm="1">
        <f t="array" aca="1" ref="B3:B103" ca="1">_xlfn.RANDARRAY(101,1)</f>
        <v>0.58321988997922047</v>
      </c>
    </row>
    <row r="4" spans="1:2" x14ac:dyDescent="0.3">
      <c r="B4">
        <f ca="1"/>
        <v>0.45437944064845737</v>
      </c>
    </row>
    <row r="5" spans="1:2" x14ac:dyDescent="0.3">
      <c r="B5">
        <f ca="1"/>
        <v>0.60087175318300856</v>
      </c>
    </row>
    <row r="6" spans="1:2" x14ac:dyDescent="0.3">
      <c r="B6">
        <f ca="1"/>
        <v>0.26739046734279737</v>
      </c>
    </row>
    <row r="7" spans="1:2" x14ac:dyDescent="0.3">
      <c r="B7">
        <f ca="1"/>
        <v>0.93823073073847207</v>
      </c>
    </row>
    <row r="8" spans="1:2" x14ac:dyDescent="0.3">
      <c r="B8">
        <f ca="1"/>
        <v>0.80687424179832545</v>
      </c>
    </row>
    <row r="9" spans="1:2" x14ac:dyDescent="0.3">
      <c r="B9">
        <f ca="1"/>
        <v>0.94940400926701707</v>
      </c>
    </row>
    <row r="10" spans="1:2" x14ac:dyDescent="0.3">
      <c r="B10">
        <f ca="1"/>
        <v>0.79378504637257796</v>
      </c>
    </row>
    <row r="11" spans="1:2" x14ac:dyDescent="0.3">
      <c r="B11">
        <f ca="1"/>
        <v>0.22961056723695483</v>
      </c>
    </row>
    <row r="12" spans="1:2" x14ac:dyDescent="0.3">
      <c r="B12">
        <f ca="1"/>
        <v>0.50100595362094835</v>
      </c>
    </row>
    <row r="13" spans="1:2" x14ac:dyDescent="0.3">
      <c r="B13">
        <f ca="1"/>
        <v>0.33375145628091274</v>
      </c>
    </row>
    <row r="14" spans="1:2" x14ac:dyDescent="0.3">
      <c r="B14">
        <f ca="1"/>
        <v>1.5645046383548022E-2</v>
      </c>
    </row>
    <row r="15" spans="1:2" x14ac:dyDescent="0.3">
      <c r="B15">
        <f ca="1"/>
        <v>0.88600358895931786</v>
      </c>
    </row>
    <row r="16" spans="1:2" x14ac:dyDescent="0.3">
      <c r="B16">
        <f ca="1"/>
        <v>0.65406678571722776</v>
      </c>
    </row>
    <row r="17" spans="2:5" x14ac:dyDescent="0.3">
      <c r="B17">
        <f ca="1"/>
        <v>0.77833101926162684</v>
      </c>
    </row>
    <row r="18" spans="2:5" x14ac:dyDescent="0.3">
      <c r="B18">
        <f ca="1"/>
        <v>0.44537346765710284</v>
      </c>
    </row>
    <row r="19" spans="2:5" x14ac:dyDescent="0.3">
      <c r="B19">
        <f ca="1"/>
        <v>3.2252497789916346E-2</v>
      </c>
    </row>
    <row r="20" spans="2:5" x14ac:dyDescent="0.3">
      <c r="B20">
        <f ca="1"/>
        <v>0.64534719938536389</v>
      </c>
    </row>
    <row r="21" spans="2:5" x14ac:dyDescent="0.3">
      <c r="B21">
        <f ca="1"/>
        <v>0.18190402578671594</v>
      </c>
      <c r="E21" t="s">
        <v>11</v>
      </c>
    </row>
    <row r="22" spans="2:5" x14ac:dyDescent="0.3">
      <c r="B22">
        <f ca="1"/>
        <v>0.38802717422093802</v>
      </c>
    </row>
    <row r="23" spans="2:5" x14ac:dyDescent="0.3">
      <c r="B23">
        <f ca="1"/>
        <v>0.14913638957179276</v>
      </c>
      <c r="E23" t="s">
        <v>12</v>
      </c>
    </row>
    <row r="24" spans="2:5" x14ac:dyDescent="0.3">
      <c r="B24">
        <f ca="1"/>
        <v>3.2366733695191829E-2</v>
      </c>
    </row>
    <row r="25" spans="2:5" x14ac:dyDescent="0.3">
      <c r="B25">
        <f ca="1"/>
        <v>6.2846551482524049E-2</v>
      </c>
    </row>
    <row r="26" spans="2:5" x14ac:dyDescent="0.3">
      <c r="B26">
        <f ca="1"/>
        <v>0.23271994445883126</v>
      </c>
    </row>
    <row r="27" spans="2:5" x14ac:dyDescent="0.3">
      <c r="B27">
        <f ca="1"/>
        <v>0.93712580509518761</v>
      </c>
    </row>
    <row r="28" spans="2:5" x14ac:dyDescent="0.3">
      <c r="B28">
        <f ca="1"/>
        <v>0.30320423328431101</v>
      </c>
    </row>
    <row r="29" spans="2:5" x14ac:dyDescent="0.3">
      <c r="B29">
        <f ca="1"/>
        <v>0.63106991741019791</v>
      </c>
    </row>
    <row r="30" spans="2:5" x14ac:dyDescent="0.3">
      <c r="B30">
        <f ca="1"/>
        <v>0.32463816637495246</v>
      </c>
    </row>
    <row r="31" spans="2:5" x14ac:dyDescent="0.3">
      <c r="B31">
        <f ca="1"/>
        <v>0.13197369853360308</v>
      </c>
    </row>
    <row r="32" spans="2:5" x14ac:dyDescent="0.3">
      <c r="B32">
        <f ca="1"/>
        <v>0.9713915172110954</v>
      </c>
    </row>
    <row r="33" spans="2:2" x14ac:dyDescent="0.3">
      <c r="B33">
        <f ca="1"/>
        <v>0.16909039221495936</v>
      </c>
    </row>
    <row r="34" spans="2:2" x14ac:dyDescent="0.3">
      <c r="B34">
        <f ca="1"/>
        <v>6.9705763806477306E-2</v>
      </c>
    </row>
    <row r="35" spans="2:2" x14ac:dyDescent="0.3">
      <c r="B35">
        <f ca="1"/>
        <v>0.13507861754121864</v>
      </c>
    </row>
    <row r="36" spans="2:2" x14ac:dyDescent="0.3">
      <c r="B36">
        <f ca="1"/>
        <v>0.79555863264927229</v>
      </c>
    </row>
    <row r="37" spans="2:2" x14ac:dyDescent="0.3">
      <c r="B37">
        <f ca="1"/>
        <v>0.73052997388881868</v>
      </c>
    </row>
    <row r="38" spans="2:2" x14ac:dyDescent="0.3">
      <c r="B38">
        <f ca="1"/>
        <v>0.49260426934853441</v>
      </c>
    </row>
    <row r="39" spans="2:2" x14ac:dyDescent="0.3">
      <c r="B39">
        <f ca="1"/>
        <v>0.88161555388170765</v>
      </c>
    </row>
    <row r="40" spans="2:2" x14ac:dyDescent="0.3">
      <c r="B40">
        <f ca="1"/>
        <v>0.91169513096278232</v>
      </c>
    </row>
    <row r="41" spans="2:2" x14ac:dyDescent="0.3">
      <c r="B41">
        <f ca="1"/>
        <v>0.64193394051272312</v>
      </c>
    </row>
    <row r="42" spans="2:2" x14ac:dyDescent="0.3">
      <c r="B42">
        <f ca="1"/>
        <v>0.55068233536651467</v>
      </c>
    </row>
    <row r="43" spans="2:2" x14ac:dyDescent="0.3">
      <c r="B43">
        <f ca="1"/>
        <v>0.59572834293495114</v>
      </c>
    </row>
    <row r="44" spans="2:2" x14ac:dyDescent="0.3">
      <c r="B44">
        <f ca="1"/>
        <v>0.89898279769903167</v>
      </c>
    </row>
    <row r="45" spans="2:2" x14ac:dyDescent="0.3">
      <c r="B45">
        <f ca="1"/>
        <v>0.38676611444475117</v>
      </c>
    </row>
    <row r="46" spans="2:2" x14ac:dyDescent="0.3">
      <c r="B46">
        <f ca="1"/>
        <v>0.12081915184438774</v>
      </c>
    </row>
    <row r="47" spans="2:2" x14ac:dyDescent="0.3">
      <c r="B47">
        <f ca="1"/>
        <v>0.59705751604023893</v>
      </c>
    </row>
    <row r="48" spans="2:2" x14ac:dyDescent="0.3">
      <c r="B48">
        <f ca="1"/>
        <v>0.37203234349226255</v>
      </c>
    </row>
    <row r="49" spans="2:2" x14ac:dyDescent="0.3">
      <c r="B49">
        <f ca="1"/>
        <v>0.54379079741109027</v>
      </c>
    </row>
    <row r="50" spans="2:2" x14ac:dyDescent="0.3">
      <c r="B50">
        <f ca="1"/>
        <v>0.3417515482562008</v>
      </c>
    </row>
    <row r="51" spans="2:2" x14ac:dyDescent="0.3">
      <c r="B51">
        <f ca="1"/>
        <v>0.34982320328721972</v>
      </c>
    </row>
    <row r="52" spans="2:2" x14ac:dyDescent="0.3">
      <c r="B52">
        <f ca="1"/>
        <v>0.45186028050892757</v>
      </c>
    </row>
    <row r="53" spans="2:2" x14ac:dyDescent="0.3">
      <c r="B53">
        <f ca="1"/>
        <v>0.34063052816792916</v>
      </c>
    </row>
    <row r="54" spans="2:2" x14ac:dyDescent="0.3">
      <c r="B54">
        <f ca="1"/>
        <v>0.63100059769578465</v>
      </c>
    </row>
    <row r="55" spans="2:2" x14ac:dyDescent="0.3">
      <c r="B55">
        <f ca="1"/>
        <v>9.0154285296657921E-2</v>
      </c>
    </row>
    <row r="56" spans="2:2" x14ac:dyDescent="0.3">
      <c r="B56">
        <f ca="1"/>
        <v>0.75804376725949152</v>
      </c>
    </row>
    <row r="57" spans="2:2" x14ac:dyDescent="0.3">
      <c r="B57">
        <f ca="1"/>
        <v>5.0777063070803985E-2</v>
      </c>
    </row>
    <row r="58" spans="2:2" x14ac:dyDescent="0.3">
      <c r="B58">
        <f ca="1"/>
        <v>0.81146574453415266</v>
      </c>
    </row>
    <row r="59" spans="2:2" x14ac:dyDescent="0.3">
      <c r="B59">
        <f ca="1"/>
        <v>0.87680283867440312</v>
      </c>
    </row>
    <row r="60" spans="2:2" x14ac:dyDescent="0.3">
      <c r="B60">
        <f ca="1"/>
        <v>0.47748716238707023</v>
      </c>
    </row>
    <row r="61" spans="2:2" x14ac:dyDescent="0.3">
      <c r="B61">
        <f ca="1"/>
        <v>0.66927970454202668</v>
      </c>
    </row>
    <row r="62" spans="2:2" x14ac:dyDescent="0.3">
      <c r="B62">
        <f ca="1"/>
        <v>0.74100663278270695</v>
      </c>
    </row>
    <row r="63" spans="2:2" x14ac:dyDescent="0.3">
      <c r="B63">
        <f ca="1"/>
        <v>0.19506517457218431</v>
      </c>
    </row>
    <row r="64" spans="2:2" x14ac:dyDescent="0.3">
      <c r="B64">
        <f ca="1"/>
        <v>0.21042418633360538</v>
      </c>
    </row>
    <row r="65" spans="2:2" x14ac:dyDescent="0.3">
      <c r="B65">
        <f ca="1"/>
        <v>0.91540017181581979</v>
      </c>
    </row>
    <row r="66" spans="2:2" x14ac:dyDescent="0.3">
      <c r="B66">
        <f ca="1"/>
        <v>0.6333780762014023</v>
      </c>
    </row>
    <row r="67" spans="2:2" x14ac:dyDescent="0.3">
      <c r="B67">
        <f ca="1"/>
        <v>0.42896307645102394</v>
      </c>
    </row>
    <row r="68" spans="2:2" x14ac:dyDescent="0.3">
      <c r="B68">
        <f ca="1"/>
        <v>2.9315060845136243E-2</v>
      </c>
    </row>
    <row r="69" spans="2:2" x14ac:dyDescent="0.3">
      <c r="B69">
        <f ca="1"/>
        <v>0.71104667119431575</v>
      </c>
    </row>
    <row r="70" spans="2:2" x14ac:dyDescent="0.3">
      <c r="B70">
        <f ca="1"/>
        <v>0.64101109527936062</v>
      </c>
    </row>
    <row r="71" spans="2:2" x14ac:dyDescent="0.3">
      <c r="B71">
        <f ca="1"/>
        <v>0.47455982967348831</v>
      </c>
    </row>
    <row r="72" spans="2:2" x14ac:dyDescent="0.3">
      <c r="B72">
        <f ca="1"/>
        <v>0.73173254481342842</v>
      </c>
    </row>
    <row r="73" spans="2:2" x14ac:dyDescent="0.3">
      <c r="B73">
        <f ca="1"/>
        <v>0.6139342512582695</v>
      </c>
    </row>
    <row r="74" spans="2:2" x14ac:dyDescent="0.3">
      <c r="B74">
        <f ca="1"/>
        <v>0.10711888150009297</v>
      </c>
    </row>
    <row r="75" spans="2:2" x14ac:dyDescent="0.3">
      <c r="B75">
        <f ca="1"/>
        <v>0.72672497603022723</v>
      </c>
    </row>
    <row r="76" spans="2:2" x14ac:dyDescent="0.3">
      <c r="B76">
        <f ca="1"/>
        <v>0.44514993023337324</v>
      </c>
    </row>
    <row r="77" spans="2:2" x14ac:dyDescent="0.3">
      <c r="B77">
        <f ca="1"/>
        <v>0.84855570070411157</v>
      </c>
    </row>
    <row r="78" spans="2:2" x14ac:dyDescent="0.3">
      <c r="B78">
        <f ca="1"/>
        <v>2.0277167247685801E-2</v>
      </c>
    </row>
    <row r="79" spans="2:2" x14ac:dyDescent="0.3">
      <c r="B79">
        <f ca="1"/>
        <v>0.23701068667221659</v>
      </c>
    </row>
    <row r="80" spans="2:2" x14ac:dyDescent="0.3">
      <c r="B80">
        <f ca="1"/>
        <v>0.69555305971237225</v>
      </c>
    </row>
    <row r="81" spans="2:2" x14ac:dyDescent="0.3">
      <c r="B81">
        <f ca="1"/>
        <v>6.4765883283974812E-2</v>
      </c>
    </row>
    <row r="82" spans="2:2" x14ac:dyDescent="0.3">
      <c r="B82">
        <f ca="1"/>
        <v>0.51669933320417094</v>
      </c>
    </row>
    <row r="83" spans="2:2" x14ac:dyDescent="0.3">
      <c r="B83">
        <f ca="1"/>
        <v>0.26876498428099382</v>
      </c>
    </row>
    <row r="84" spans="2:2" x14ac:dyDescent="0.3">
      <c r="B84">
        <f ca="1"/>
        <v>0.7219879655431205</v>
      </c>
    </row>
    <row r="85" spans="2:2" x14ac:dyDescent="0.3">
      <c r="B85">
        <f ca="1"/>
        <v>0.7622885913526789</v>
      </c>
    </row>
    <row r="86" spans="2:2" x14ac:dyDescent="0.3">
      <c r="B86">
        <f ca="1"/>
        <v>0.36305069209400398</v>
      </c>
    </row>
    <row r="87" spans="2:2" x14ac:dyDescent="0.3">
      <c r="B87">
        <f ca="1"/>
        <v>0.9282583302022509</v>
      </c>
    </row>
    <row r="88" spans="2:2" x14ac:dyDescent="0.3">
      <c r="B88">
        <f ca="1"/>
        <v>0.36570069232234115</v>
      </c>
    </row>
    <row r="89" spans="2:2" x14ac:dyDescent="0.3">
      <c r="B89">
        <f ca="1"/>
        <v>0.96099169649737237</v>
      </c>
    </row>
    <row r="90" spans="2:2" x14ac:dyDescent="0.3">
      <c r="B90">
        <f ca="1"/>
        <v>0.68692897431502287</v>
      </c>
    </row>
    <row r="91" spans="2:2" x14ac:dyDescent="0.3">
      <c r="B91">
        <f ca="1"/>
        <v>0.96827386137670812</v>
      </c>
    </row>
    <row r="92" spans="2:2" x14ac:dyDescent="0.3">
      <c r="B92">
        <f ca="1"/>
        <v>0.88771907588686427</v>
      </c>
    </row>
    <row r="93" spans="2:2" x14ac:dyDescent="0.3">
      <c r="B93">
        <f ca="1"/>
        <v>0.66222839588969085</v>
      </c>
    </row>
    <row r="94" spans="2:2" x14ac:dyDescent="0.3">
      <c r="B94">
        <f ca="1"/>
        <v>0.51782862394653928</v>
      </c>
    </row>
    <row r="95" spans="2:2" x14ac:dyDescent="0.3">
      <c r="B95">
        <f ca="1"/>
        <v>5.511158362851809E-2</v>
      </c>
    </row>
    <row r="96" spans="2:2" x14ac:dyDescent="0.3">
      <c r="B96">
        <f ca="1"/>
        <v>8.7775465551594323E-2</v>
      </c>
    </row>
    <row r="97" spans="2:2" x14ac:dyDescent="0.3">
      <c r="B97">
        <f ca="1"/>
        <v>0.98514501609488558</v>
      </c>
    </row>
    <row r="98" spans="2:2" x14ac:dyDescent="0.3">
      <c r="B98">
        <f ca="1"/>
        <v>0.93087129341148755</v>
      </c>
    </row>
    <row r="99" spans="2:2" x14ac:dyDescent="0.3">
      <c r="B99">
        <f ca="1"/>
        <v>0.11906741040182456</v>
      </c>
    </row>
    <row r="100" spans="2:2" x14ac:dyDescent="0.3">
      <c r="B100">
        <f ca="1"/>
        <v>0.7256780270418739</v>
      </c>
    </row>
    <row r="101" spans="2:2" x14ac:dyDescent="0.3">
      <c r="B101">
        <f ca="1"/>
        <v>0.58355685094961385</v>
      </c>
    </row>
    <row r="102" spans="2:2" x14ac:dyDescent="0.3">
      <c r="B102">
        <f ca="1"/>
        <v>0.30075911188115301</v>
      </c>
    </row>
    <row r="103" spans="2:2" x14ac:dyDescent="0.3">
      <c r="B103">
        <f ca="1"/>
        <v>0.40542174432045863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2B10-AF23-443A-A67F-ED740822CC72}">
  <dimension ref="A1:C9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13</v>
      </c>
    </row>
    <row r="2" spans="1:3" x14ac:dyDescent="0.3">
      <c r="A2" t="s">
        <v>14</v>
      </c>
    </row>
    <row r="4" spans="1:3" x14ac:dyDescent="0.3">
      <c r="A4" t="s">
        <v>5</v>
      </c>
      <c r="B4" t="s">
        <v>15</v>
      </c>
      <c r="C4">
        <v>50</v>
      </c>
    </row>
    <row r="5" spans="1:3" x14ac:dyDescent="0.3">
      <c r="B5" t="s">
        <v>16</v>
      </c>
      <c r="C5">
        <v>5</v>
      </c>
    </row>
    <row r="6" spans="1:3" x14ac:dyDescent="0.3">
      <c r="B6" t="s">
        <v>17</v>
      </c>
    </row>
    <row r="7" spans="1:3" x14ac:dyDescent="0.3">
      <c r="C7">
        <v>45</v>
      </c>
    </row>
    <row r="8" spans="1:3" x14ac:dyDescent="0.3">
      <c r="C8">
        <v>55</v>
      </c>
    </row>
    <row r="9" spans="1:3" x14ac:dyDescent="0.3">
      <c r="B9">
        <f>_xlfn.NORM.DIST(C8,C4,C5,TRUE)-_xlfn.NORM.DIST(C7,C4,C5,TRUE)</f>
        <v>0.68268949213708607</v>
      </c>
      <c r="C9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F035-4DAC-4331-A3AA-A771E2CDDA4A}">
  <dimension ref="A1:B31"/>
  <sheetViews>
    <sheetView workbookViewId="0">
      <selection activeCell="D35" sqref="D35"/>
    </sheetView>
  </sheetViews>
  <sheetFormatPr defaultRowHeight="14.4" x14ac:dyDescent="0.3"/>
  <sheetData>
    <row r="1" spans="1:2" x14ac:dyDescent="0.3">
      <c r="A1" t="s">
        <v>19</v>
      </c>
    </row>
    <row r="2" spans="1:2" x14ac:dyDescent="0.3">
      <c r="A2" t="s">
        <v>20</v>
      </c>
    </row>
    <row r="4" spans="1:2" x14ac:dyDescent="0.3">
      <c r="A4" t="s">
        <v>5</v>
      </c>
      <c r="B4" t="s">
        <v>21</v>
      </c>
    </row>
    <row r="6" spans="1:2" x14ac:dyDescent="0.3">
      <c r="B6" t="s">
        <v>22</v>
      </c>
    </row>
    <row r="7" spans="1:2" x14ac:dyDescent="0.3">
      <c r="B7" t="s">
        <v>23</v>
      </c>
    </row>
    <row r="9" spans="1:2" x14ac:dyDescent="0.3">
      <c r="B9" t="s">
        <v>24</v>
      </c>
    </row>
    <row r="10" spans="1:2" x14ac:dyDescent="0.3">
      <c r="B10" t="s">
        <v>25</v>
      </c>
    </row>
    <row r="11" spans="1:2" x14ac:dyDescent="0.3">
      <c r="B11" t="s">
        <v>26</v>
      </c>
    </row>
    <row r="12" spans="1:2" x14ac:dyDescent="0.3">
      <c r="B12" t="s">
        <v>27</v>
      </c>
    </row>
    <row r="13" spans="1:2" x14ac:dyDescent="0.3">
      <c r="B13" t="s">
        <v>28</v>
      </c>
    </row>
    <row r="14" spans="1:2" x14ac:dyDescent="0.3">
      <c r="B14" t="s">
        <v>29</v>
      </c>
    </row>
    <row r="15" spans="1:2" x14ac:dyDescent="0.3">
      <c r="B15" t="s">
        <v>30</v>
      </c>
    </row>
    <row r="17" spans="2:2" x14ac:dyDescent="0.3">
      <c r="B17" t="s">
        <v>31</v>
      </c>
    </row>
    <row r="18" spans="2:2" x14ac:dyDescent="0.3">
      <c r="B18" t="s">
        <v>32</v>
      </c>
    </row>
    <row r="19" spans="2:2" x14ac:dyDescent="0.3">
      <c r="B19" t="s">
        <v>33</v>
      </c>
    </row>
    <row r="20" spans="2:2" x14ac:dyDescent="0.3">
      <c r="B20" t="s">
        <v>34</v>
      </c>
    </row>
    <row r="22" spans="2:2" x14ac:dyDescent="0.3">
      <c r="B22" t="s">
        <v>35</v>
      </c>
    </row>
    <row r="23" spans="2:2" x14ac:dyDescent="0.3">
      <c r="B23" t="s">
        <v>36</v>
      </c>
    </row>
    <row r="24" spans="2:2" x14ac:dyDescent="0.3">
      <c r="B24" t="s">
        <v>37</v>
      </c>
    </row>
    <row r="25" spans="2:2" x14ac:dyDescent="0.3">
      <c r="B25" t="s">
        <v>38</v>
      </c>
    </row>
    <row r="26" spans="2:2" x14ac:dyDescent="0.3">
      <c r="B26" t="s">
        <v>39</v>
      </c>
    </row>
    <row r="28" spans="2:2" x14ac:dyDescent="0.3">
      <c r="B28" t="s">
        <v>40</v>
      </c>
    </row>
    <row r="29" spans="2:2" x14ac:dyDescent="0.3">
      <c r="B29" t="s">
        <v>41</v>
      </c>
    </row>
    <row r="30" spans="2:2" x14ac:dyDescent="0.3">
      <c r="B30" t="s">
        <v>42</v>
      </c>
    </row>
    <row r="31" spans="2:2" x14ac:dyDescent="0.3">
      <c r="B3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FE99-44DC-432D-B4DC-D0FAF6135F8C}">
  <dimension ref="A1:B24"/>
  <sheetViews>
    <sheetView workbookViewId="0">
      <selection activeCell="J18" sqref="J18"/>
    </sheetView>
  </sheetViews>
  <sheetFormatPr defaultRowHeight="14.4" x14ac:dyDescent="0.3"/>
  <sheetData>
    <row r="1" spans="1:2" x14ac:dyDescent="0.3">
      <c r="A1" t="s">
        <v>44</v>
      </c>
    </row>
    <row r="3" spans="1:2" x14ac:dyDescent="0.3">
      <c r="A3" t="s">
        <v>5</v>
      </c>
      <c r="B3" t="s">
        <v>45</v>
      </c>
    </row>
    <row r="5" spans="1:2" x14ac:dyDescent="0.3">
      <c r="B5" t="s">
        <v>46</v>
      </c>
    </row>
    <row r="7" spans="1:2" x14ac:dyDescent="0.3">
      <c r="B7" t="s">
        <v>47</v>
      </c>
    </row>
    <row r="8" spans="1:2" x14ac:dyDescent="0.3">
      <c r="B8" t="s">
        <v>48</v>
      </c>
    </row>
    <row r="9" spans="1:2" x14ac:dyDescent="0.3">
      <c r="B9" t="s">
        <v>49</v>
      </c>
    </row>
    <row r="10" spans="1:2" x14ac:dyDescent="0.3">
      <c r="B10" t="s">
        <v>50</v>
      </c>
    </row>
    <row r="12" spans="1:2" x14ac:dyDescent="0.3">
      <c r="B12" t="s">
        <v>51</v>
      </c>
    </row>
    <row r="13" spans="1:2" x14ac:dyDescent="0.3">
      <c r="B13" t="s">
        <v>52</v>
      </c>
    </row>
    <row r="14" spans="1:2" x14ac:dyDescent="0.3">
      <c r="B14" t="s">
        <v>53</v>
      </c>
    </row>
    <row r="15" spans="1:2" x14ac:dyDescent="0.3">
      <c r="B15" t="s">
        <v>54</v>
      </c>
    </row>
    <row r="17" spans="2:2" x14ac:dyDescent="0.3">
      <c r="B17" t="s">
        <v>55</v>
      </c>
    </row>
    <row r="18" spans="2:2" x14ac:dyDescent="0.3">
      <c r="B18" t="s">
        <v>56</v>
      </c>
    </row>
    <row r="19" spans="2:2" x14ac:dyDescent="0.3">
      <c r="B19" t="s">
        <v>57</v>
      </c>
    </row>
    <row r="20" spans="2:2" x14ac:dyDescent="0.3">
      <c r="B20" t="s">
        <v>58</v>
      </c>
    </row>
    <row r="22" spans="2:2" x14ac:dyDescent="0.3">
      <c r="B22" t="s">
        <v>59</v>
      </c>
    </row>
    <row r="23" spans="2:2" x14ac:dyDescent="0.3">
      <c r="B23" t="s">
        <v>60</v>
      </c>
    </row>
    <row r="24" spans="2:2" x14ac:dyDescent="0.3">
      <c r="B24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62E5-C7DB-431B-9E78-147D38B38E8E}">
  <dimension ref="A1:B6"/>
  <sheetViews>
    <sheetView workbookViewId="0">
      <selection activeCell="F13" sqref="F13"/>
    </sheetView>
  </sheetViews>
  <sheetFormatPr defaultRowHeight="14.4" x14ac:dyDescent="0.3"/>
  <sheetData>
    <row r="1" spans="1:2" x14ac:dyDescent="0.3">
      <c r="A1" t="s">
        <v>62</v>
      </c>
    </row>
    <row r="3" spans="1:2" x14ac:dyDescent="0.3">
      <c r="A3" t="s">
        <v>5</v>
      </c>
      <c r="B3" t="s">
        <v>63</v>
      </c>
    </row>
    <row r="5" spans="1:2" x14ac:dyDescent="0.3">
      <c r="B5" t="s">
        <v>64</v>
      </c>
    </row>
    <row r="6" spans="1:2" x14ac:dyDescent="0.3">
      <c r="B6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85DC-397B-4C85-838C-FAB03B9B0CEB}">
  <dimension ref="A1:D7"/>
  <sheetViews>
    <sheetView workbookViewId="0">
      <selection activeCell="C7" sqref="C7"/>
    </sheetView>
  </sheetViews>
  <sheetFormatPr defaultRowHeight="14.4" x14ac:dyDescent="0.3"/>
  <sheetData>
    <row r="1" spans="1:4" x14ac:dyDescent="0.3">
      <c r="A1" t="s">
        <v>66</v>
      </c>
    </row>
    <row r="3" spans="1:4" x14ac:dyDescent="0.3">
      <c r="A3" t="s">
        <v>5</v>
      </c>
      <c r="B3" t="s">
        <v>67</v>
      </c>
      <c r="D3">
        <v>15</v>
      </c>
    </row>
    <row r="4" spans="1:4" x14ac:dyDescent="0.3">
      <c r="B4" t="s">
        <v>68</v>
      </c>
      <c r="D4">
        <v>8</v>
      </c>
    </row>
    <row r="5" spans="1:4" x14ac:dyDescent="0.3">
      <c r="B5" t="s">
        <v>69</v>
      </c>
      <c r="D5">
        <v>0.5</v>
      </c>
    </row>
    <row r="7" spans="1:4" x14ac:dyDescent="0.3">
      <c r="C7">
        <f>1-_xlfn.BINOM.DIST(7,D3,D5,TRUE)</f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7756-9AFE-4AF1-B7B1-4B1741408E24}">
  <dimension ref="A1:B17"/>
  <sheetViews>
    <sheetView tabSelected="1" workbookViewId="0">
      <selection activeCell="B16" sqref="B16"/>
    </sheetView>
  </sheetViews>
  <sheetFormatPr defaultRowHeight="14.4" x14ac:dyDescent="0.3"/>
  <sheetData>
    <row r="1" spans="1:2" x14ac:dyDescent="0.3">
      <c r="A1" t="s">
        <v>70</v>
      </c>
    </row>
    <row r="3" spans="1:2" x14ac:dyDescent="0.3">
      <c r="A3" t="s">
        <v>2</v>
      </c>
      <c r="B3" t="s">
        <v>71</v>
      </c>
    </row>
    <row r="5" spans="1:2" x14ac:dyDescent="0.3">
      <c r="B5" t="s">
        <v>72</v>
      </c>
    </row>
    <row r="6" spans="1:2" x14ac:dyDescent="0.3">
      <c r="B6" t="s">
        <v>73</v>
      </c>
    </row>
    <row r="7" spans="1:2" x14ac:dyDescent="0.3">
      <c r="B7" t="s">
        <v>74</v>
      </c>
    </row>
    <row r="9" spans="1:2" x14ac:dyDescent="0.3">
      <c r="B9" t="s">
        <v>75</v>
      </c>
    </row>
    <row r="10" spans="1:2" x14ac:dyDescent="0.3">
      <c r="B10" t="s">
        <v>76</v>
      </c>
    </row>
    <row r="12" spans="1:2" x14ac:dyDescent="0.3">
      <c r="B12" t="s">
        <v>77</v>
      </c>
    </row>
    <row r="13" spans="1:2" x14ac:dyDescent="0.3">
      <c r="B13" t="s">
        <v>78</v>
      </c>
    </row>
    <row r="15" spans="1:2" x14ac:dyDescent="0.3">
      <c r="B15" t="s">
        <v>79</v>
      </c>
    </row>
    <row r="16" spans="1:2" x14ac:dyDescent="0.3">
      <c r="B16" t="e" cm="1">
        <f t="array" ref="B16">- Data is positively skewed.</f>
        <v>#NAME?</v>
      </c>
    </row>
    <row r="17" spans="2:2" x14ac:dyDescent="0.3">
      <c r="B1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2025-12-29T05:02:34Z</dcterms:created>
  <dcterms:modified xsi:type="dcterms:W3CDTF">2025-12-30T05:27:49Z</dcterms:modified>
</cp:coreProperties>
</file>
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13_ncr:1_{CDAF4489-FC64-4F2C-BA3F-F152939ED129}" xr6:coauthVersionLast="47" xr6:coauthVersionMax="47" xr10:uidLastSave="{00000000-0000-0000-0000-000000000000}"/>
  <bookViews>
    <workbookView xWindow="-108" yWindow="-108" windowWidth="23256" windowHeight="12456" xr2:uid="{4D6FE286-7457-4ABC-B16F-5B7AD8B3E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9" i="1" l="1"/>
  <c r="H128" i="1"/>
  <c r="D128" i="1"/>
  <c r="E130" i="1"/>
  <c r="D107" i="1"/>
  <c r="D105" i="1"/>
  <c r="D104" i="1"/>
  <c r="B95" i="1"/>
  <c r="C91" i="1"/>
  <c r="C90" i="1"/>
  <c r="B83" i="1" a="1"/>
  <c r="B83" i="1" s="1"/>
  <c r="B79" i="1"/>
  <c r="C75" i="1"/>
  <c r="C7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<sst xmlns="http://schemas.openxmlformats.org/spreadsheetml/2006/main" count="94" uniqueCount="84">
  <si>
    <t>Q1-Define Covariance and explain how it differs from Correlation in terms of scale and interpretation.</t>
  </si>
  <si>
    <t>Answer-</t>
  </si>
  <si>
    <t>Covariance</t>
  </si>
  <si>
    <t>- Formula: Cov(X,Y) = E[(X-μx)(Y-μy)]</t>
  </si>
  <si>
    <t>vs Correlation:</t>
  </si>
  <si>
    <t>- Scale: Covariance depends on variable units; Correlation is standardized (-1 to 1).</t>
  </si>
  <si>
    <t>- Interpretation: Covariance shows direction; Correlation shows direction and strength.</t>
  </si>
  <si>
    <t>Example:</t>
  </si>
  <si>
    <t>- Cov(X,Y) = 10 (direction, but scale unclear)</t>
  </si>
  <si>
    <t>- Corr(X,Y) = 0.8 (strong positive link)</t>
  </si>
  <si>
    <t xml:space="preserve"> Measures how two variables change together.</t>
  </si>
  <si>
    <t xml:space="preserve"> Positive: Move same direction.</t>
  </si>
  <si>
    <t xml:space="preserve"> Negative: Move opposite directions.</t>
  </si>
  <si>
    <t>Q2-What does a positive, negative, and zero covariance indicate about the relationship between two variables?</t>
  </si>
  <si>
    <t>Covariance indicates:</t>
  </si>
  <si>
    <t>- Positive: Variables tend to move same direction (as one ↑, other ↑).</t>
  </si>
  <si>
    <t>- Negative: Variables tend to move opposite directions (as one ↑, other ↓).</t>
  </si>
  <si>
    <t>- Zero: No linear relationship (variables are uncorrelated).</t>
  </si>
  <si>
    <t xml:space="preserve">Q3. Discuss the limitations of covariance as a measure of relationship between two variables. Why is correlation </t>
  </si>
  <si>
    <t>preferred in many cases?</t>
  </si>
  <si>
    <t>Covariance limitations:</t>
  </si>
  <si>
    <t>- Affected by variable units: e.g., changing ₹ to $ changes covariance.</t>
  </si>
  <si>
    <t>Correlation preferred:</t>
  </si>
  <si>
    <t>- Scale-free: Standardized (-1 to 1).</t>
  </si>
  <si>
    <t>- Interpretable strength: 1 (perfect pos), -1 (perfect neg), 0 (no linear link).</t>
  </si>
  <si>
    <t>Scale-dependent: Hard to compare across different units/scales.</t>
  </si>
  <si>
    <t xml:space="preserve"> No bounds: Value range unclear, tough to interpret strength.</t>
  </si>
  <si>
    <t xml:space="preserve"> Comparable: across different datasets/variables.</t>
  </si>
  <si>
    <t xml:space="preserve">Q4. Explain the difference between Pearson’s correlation coefficient and Spearman’s rank correlation </t>
  </si>
  <si>
    <t>coefficient. When would you prefer to use Spearman’s correlation?</t>
  </si>
  <si>
    <t>Pearson vs Spearman</t>
  </si>
  <si>
    <t>- Pearson: Measures linear relationship (continuous data).</t>
  </si>
  <si>
    <t>- Spearman: Measures monotonic relationship (ranks, can handle ordinal data).</t>
  </si>
  <si>
    <t>Use Spearman when:</t>
  </si>
  <si>
    <t>- Data is ordinal (e.g., ranks, grades).</t>
  </si>
  <si>
    <t>Example: Spearman’s good for exam rank vs study hours (not exactly linear).</t>
  </si>
  <si>
    <t>relationship is non-linear but monotonic.</t>
  </si>
  <si>
    <t>Outliers affect Pearson too much.</t>
  </si>
  <si>
    <t>Q5-</t>
  </si>
  <si>
    <t>infer causation from this value? Why or why not?</t>
  </si>
  <si>
    <t xml:space="preserve">if the correlation coefficient between two variables X and Y is 0.85, interpret this value in context. Can you </t>
  </si>
  <si>
    <t>Interpretation:</t>
  </si>
  <si>
    <t>- 0.85 correlation → Strong positive linear relationship between X and Y.</t>
  </si>
  <si>
    <t>- As X increases, Y tends to increase (and vice‑versa).</t>
  </si>
  <si>
    <t xml:space="preserve">*Causation? → NO </t>
  </si>
  <si>
    <t>- It only shows association, not that X causes Y (or Y causes X).</t>
  </si>
  <si>
    <t>Example: Ice cream sales (X) and sunglasses sold (Y) have high correlation – but buying ice cream doesn’t cause people to buy sunglasses .</t>
  </si>
  <si>
    <t xml:space="preserve"> correlation ≠ causation.</t>
  </si>
  <si>
    <t>Other factors might drive both X and Y.</t>
  </si>
  <si>
    <t>Q6-Using the dataset below,calculatethe covariance between X and Y.</t>
  </si>
  <si>
    <t>X</t>
  </si>
  <si>
    <t>Y</t>
  </si>
  <si>
    <t>mean of x-</t>
  </si>
  <si>
    <t>mean of y-</t>
  </si>
  <si>
    <t>Compute  covarience with Excel's function(direct)</t>
  </si>
  <si>
    <t>covari-</t>
  </si>
  <si>
    <t>by mannual formula-</t>
  </si>
  <si>
    <t>Q7-Compute the pearson correlation coefficient between variables A and  B:</t>
  </si>
  <si>
    <t>A</t>
  </si>
  <si>
    <t>B</t>
  </si>
  <si>
    <t>Mean of A-</t>
  </si>
  <si>
    <t>Mean of B-</t>
  </si>
  <si>
    <t>by excels'formula for finding pearson correlation coefficient-</t>
  </si>
  <si>
    <t>Question 8-The following table shows heights (in cm) and  weights (in kg) of  5 students.</t>
  </si>
  <si>
    <t>Find the correlation cofficient between Height and Weight.</t>
  </si>
  <si>
    <t>Height</t>
  </si>
  <si>
    <t>Weight</t>
  </si>
  <si>
    <t>Mean of Height-</t>
  </si>
  <si>
    <t>Mean of weight-</t>
  </si>
  <si>
    <t>correlation cofficient-</t>
  </si>
  <si>
    <t>Question 9- Given the dataset below,determine whether there is a positive or negative correlation X and Y.</t>
  </si>
  <si>
    <t>(No need for exact calculation,just reasoning.)</t>
  </si>
  <si>
    <t>x</t>
  </si>
  <si>
    <t>y</t>
  </si>
  <si>
    <t>As X increases from 1 to 5, Y decreases from 15 to 3. This indicates that the variables move in opposite directions, so there is a negative correlation between X and Y.</t>
  </si>
  <si>
    <t xml:space="preserve">Q10. Two investment portfolios have the following returns (%) over 5 years. Compute the covariance and </t>
  </si>
  <si>
    <t>correlation coefficient, and interpret whether the portfolios move together.</t>
  </si>
  <si>
    <t>Year</t>
  </si>
  <si>
    <t>Portfolio A</t>
  </si>
  <si>
    <t>Portfolio B</t>
  </si>
  <si>
    <t>covarience coefficient-</t>
  </si>
  <si>
    <t>correlation coefficient-</t>
  </si>
  <si>
    <t>average of portfolio A</t>
  </si>
  <si>
    <t>average of portfolio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</si>
</sst>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6957-AE96-4253-B55A-96665C0E9061}">
  <dimension ref="A1:H130"/>
  <sheetViews>
    <sheetView tabSelected="1" topLeftCell="A109" workbookViewId="0">
      <selection activeCell="C133" sqref="C133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4" spans="1:2" x14ac:dyDescent="0.3">
      <c r="B4" t="s">
        <v>10</v>
      </c>
    </row>
    <row r="5" spans="1:2" x14ac:dyDescent="0.3">
      <c r="B5" t="s">
        <v>11</v>
      </c>
    </row>
    <row r="6" spans="1:2" x14ac:dyDescent="0.3">
      <c r="B6" t="s">
        <v>12</v>
      </c>
    </row>
    <row r="7" spans="1:2" x14ac:dyDescent="0.3">
      <c r="B7" t="s">
        <v>3</v>
      </c>
    </row>
    <row r="9" spans="1:2" x14ac:dyDescent="0.3">
      <c r="B9" t="s">
        <v>4</v>
      </c>
    </row>
    <row r="10" spans="1:2" x14ac:dyDescent="0.3">
      <c r="B10" t="s">
        <v>5</v>
      </c>
    </row>
    <row r="11" spans="1:2" x14ac:dyDescent="0.3">
      <c r="B11" t="s">
        <v>6</v>
      </c>
    </row>
    <row r="13" spans="1:2" x14ac:dyDescent="0.3">
      <c r="B13" t="s">
        <v>7</v>
      </c>
    </row>
    <row r="14" spans="1:2" x14ac:dyDescent="0.3">
      <c r="B14" t="s">
        <v>8</v>
      </c>
    </row>
    <row r="15" spans="1:2" x14ac:dyDescent="0.3">
      <c r="B15" t="s">
        <v>9</v>
      </c>
    </row>
    <row r="18" spans="1:2" x14ac:dyDescent="0.3">
      <c r="A18" t="s">
        <v>13</v>
      </c>
    </row>
    <row r="20" spans="1:2" x14ac:dyDescent="0.3">
      <c r="A20" t="s">
        <v>1</v>
      </c>
      <c r="B20" t="s">
        <v>14</v>
      </c>
    </row>
    <row r="21" spans="1:2" x14ac:dyDescent="0.3">
      <c r="B21" t="s">
        <v>15</v>
      </c>
    </row>
    <row r="22" spans="1:2" x14ac:dyDescent="0.3">
      <c r="B22" t="s">
        <v>16</v>
      </c>
    </row>
    <row r="23" spans="1:2" x14ac:dyDescent="0.3">
      <c r="B23" t="s">
        <v>17</v>
      </c>
    </row>
    <row r="25" spans="1:2" x14ac:dyDescent="0.3">
      <c r="A25" t="s">
        <v>18</v>
      </c>
    </row>
    <row r="26" spans="1:2" x14ac:dyDescent="0.3">
      <c r="A26" t="s">
        <v>19</v>
      </c>
    </row>
    <row r="28" spans="1:2" x14ac:dyDescent="0.3">
      <c r="A28" t="s">
        <v>1</v>
      </c>
      <c r="B28" t="s">
        <v>20</v>
      </c>
    </row>
    <row r="29" spans="1:2" x14ac:dyDescent="0.3">
      <c r="B29" t="s">
        <v>25</v>
      </c>
    </row>
    <row r="30" spans="1:2" x14ac:dyDescent="0.3">
      <c r="B30" t="s">
        <v>26</v>
      </c>
    </row>
    <row r="31" spans="1:2" x14ac:dyDescent="0.3">
      <c r="B31" t="s">
        <v>21</v>
      </c>
    </row>
    <row r="33" spans="1:2" x14ac:dyDescent="0.3">
      <c r="B33" t="s">
        <v>22</v>
      </c>
    </row>
    <row r="34" spans="1:2" x14ac:dyDescent="0.3">
      <c r="B34" t="s">
        <v>23</v>
      </c>
    </row>
    <row r="35" spans="1:2" x14ac:dyDescent="0.3">
      <c r="B35" t="s">
        <v>24</v>
      </c>
    </row>
    <row r="36" spans="1:2" x14ac:dyDescent="0.3">
      <c r="B36" t="s">
        <v>27</v>
      </c>
    </row>
    <row r="39" spans="1:2" x14ac:dyDescent="0.3">
      <c r="A39" t="s">
        <v>28</v>
      </c>
    </row>
    <row r="40" spans="1:2" x14ac:dyDescent="0.3">
      <c r="A40" t="s">
        <v>29</v>
      </c>
    </row>
    <row r="42" spans="1:2" x14ac:dyDescent="0.3">
      <c r="A42" t="s">
        <v>1</v>
      </c>
      <c r="B42" t="s">
        <v>30</v>
      </c>
    </row>
    <row r="43" spans="1:2" x14ac:dyDescent="0.3">
      <c r="B43" t="s">
        <v>31</v>
      </c>
    </row>
    <row r="44" spans="1:2" x14ac:dyDescent="0.3">
      <c r="B44" t="s">
        <v>32</v>
      </c>
    </row>
    <row r="46" spans="1:2" x14ac:dyDescent="0.3">
      <c r="B46" t="s">
        <v>33</v>
      </c>
    </row>
    <row r="47" spans="1:2" x14ac:dyDescent="0.3">
      <c r="B47" t="s">
        <v>34</v>
      </c>
    </row>
    <row r="48" spans="1:2" x14ac:dyDescent="0.3">
      <c r="B48" t="s">
        <v>36</v>
      </c>
    </row>
    <row r="49" spans="1:2" x14ac:dyDescent="0.3">
      <c r="B49" t="s">
        <v>37</v>
      </c>
    </row>
    <row r="51" spans="1:2" x14ac:dyDescent="0.3">
      <c r="B51" t="s">
        <v>35</v>
      </c>
    </row>
    <row r="53" spans="1:2" x14ac:dyDescent="0.3">
      <c r="A53" t="s">
        <v>38</v>
      </c>
      <c r="B53" t="s">
        <v>40</v>
      </c>
    </row>
    <row r="54" spans="1:2" x14ac:dyDescent="0.3">
      <c r="B54" t="s">
        <v>39</v>
      </c>
    </row>
    <row r="56" spans="1:2" x14ac:dyDescent="0.3">
      <c r="A56" t="s">
        <v>1</v>
      </c>
      <c r="B56" t="s">
        <v>41</v>
      </c>
    </row>
    <row r="57" spans="1:2" x14ac:dyDescent="0.3">
      <c r="B57" t="s">
        <v>42</v>
      </c>
    </row>
    <row r="58" spans="1:2" x14ac:dyDescent="0.3">
      <c r="B58" t="s">
        <v>43</v>
      </c>
    </row>
    <row r="60" spans="1:2" x14ac:dyDescent="0.3">
      <c r="B60" t="s">
        <v>44</v>
      </c>
    </row>
    <row r="61" spans="1:2" x14ac:dyDescent="0.3">
      <c r="B61" t="s">
        <v>47</v>
      </c>
    </row>
    <row r="62" spans="1:2" x14ac:dyDescent="0.3">
      <c r="B62" t="s">
        <v>45</v>
      </c>
    </row>
    <row r="63" spans="1:2" x14ac:dyDescent="0.3">
      <c r="B63" t="s">
        <v>48</v>
      </c>
    </row>
    <row r="65" spans="1:6" x14ac:dyDescent="0.3">
      <c r="B65" t="s">
        <v>46</v>
      </c>
    </row>
    <row r="68" spans="1:6" x14ac:dyDescent="0.3">
      <c r="A68" t="s">
        <v>49</v>
      </c>
    </row>
    <row r="70" spans="1:6" x14ac:dyDescent="0.3">
      <c r="B70" s="2" t="s">
        <v>50</v>
      </c>
      <c r="C70" s="2">
        <v>2</v>
      </c>
      <c r="D70" s="2">
        <v>4</v>
      </c>
      <c r="E70" s="2">
        <v>6</v>
      </c>
      <c r="F70" s="2">
        <v>8</v>
      </c>
    </row>
    <row r="71" spans="1:6" x14ac:dyDescent="0.3">
      <c r="B71" s="2" t="s">
        <v>51</v>
      </c>
      <c r="C71" s="2">
        <v>3</v>
      </c>
      <c r="D71" s="2">
        <v>7</v>
      </c>
      <c r="E71" s="2">
        <v>5</v>
      </c>
      <c r="F71" s="2">
        <v>10</v>
      </c>
    </row>
    <row r="74" spans="1:6" x14ac:dyDescent="0.3">
      <c r="A74" t="s">
        <v>1</v>
      </c>
      <c r="B74" t="s">
        <v>52</v>
      </c>
      <c r="C74">
        <f>AVERAGE(C70:F70)</f>
        <v>5</v>
      </c>
    </row>
    <row r="75" spans="1:6" x14ac:dyDescent="0.3">
      <c r="B75" t="s">
        <v>53</v>
      </c>
      <c r="C75">
        <f>AVERAGE(C71:F71)</f>
        <v>6.25</v>
      </c>
    </row>
    <row r="77" spans="1:6" x14ac:dyDescent="0.3">
      <c r="A77" t="s">
        <v>54</v>
      </c>
    </row>
    <row r="79" spans="1:6" x14ac:dyDescent="0.3">
      <c r="A79" t="s">
        <v>55</v>
      </c>
      <c r="B79">
        <f>_xlfn.COVARIANCE.P(C70:F70,C71:F71)</f>
        <v>4.75</v>
      </c>
    </row>
    <row r="81" spans="1:7" x14ac:dyDescent="0.3">
      <c r="A81" t="s">
        <v>56</v>
      </c>
    </row>
    <row r="83" spans="1:7" x14ac:dyDescent="0.3">
      <c r="A83" t="s">
        <v>55</v>
      </c>
      <c r="B83" cm="1">
        <f t="array" ref="B83">SUMPRODUCT((C70:F70-5)*(C71:F71-6.25))/4</f>
        <v>4.75</v>
      </c>
    </row>
    <row r="85" spans="1:7" x14ac:dyDescent="0.3">
      <c r="A85" t="s">
        <v>57</v>
      </c>
    </row>
    <row r="87" spans="1:7" x14ac:dyDescent="0.3">
      <c r="B87" s="3" t="s">
        <v>58</v>
      </c>
      <c r="C87" s="3">
        <v>10</v>
      </c>
      <c r="D87" s="3">
        <v>20</v>
      </c>
      <c r="E87" s="3">
        <v>30</v>
      </c>
      <c r="F87" s="3">
        <v>40</v>
      </c>
      <c r="G87" s="3">
        <v>50</v>
      </c>
    </row>
    <row r="88" spans="1:7" x14ac:dyDescent="0.3">
      <c r="B88" s="3" t="s">
        <v>59</v>
      </c>
      <c r="C88" s="3">
        <v>8</v>
      </c>
      <c r="D88" s="3">
        <v>14</v>
      </c>
      <c r="E88" s="3">
        <v>18</v>
      </c>
      <c r="F88" s="3">
        <v>24</v>
      </c>
      <c r="G88" s="3">
        <v>28</v>
      </c>
    </row>
    <row r="90" spans="1:7" x14ac:dyDescent="0.3">
      <c r="A90" t="s">
        <v>1</v>
      </c>
      <c r="B90" t="s">
        <v>60</v>
      </c>
      <c r="C90">
        <f>AVERAGE(C87:G87)</f>
        <v>30</v>
      </c>
    </row>
    <row r="91" spans="1:7" x14ac:dyDescent="0.3">
      <c r="B91" t="s">
        <v>61</v>
      </c>
      <c r="C91">
        <f>AVERAGE(C88:G88)</f>
        <v>18.399999999999999</v>
      </c>
    </row>
    <row r="93" spans="1:7" x14ac:dyDescent="0.3">
      <c r="A93" t="s">
        <v>62</v>
      </c>
    </row>
    <row r="95" spans="1:7" x14ac:dyDescent="0.3">
      <c r="B95">
        <f>CORREL(C87:G87,C88:G88)</f>
        <v>0.99760860558452769</v>
      </c>
    </row>
    <row r="98" spans="1:7" x14ac:dyDescent="0.3">
      <c r="A98" t="s">
        <v>63</v>
      </c>
    </row>
    <row r="99" spans="1:7" x14ac:dyDescent="0.3">
      <c r="A99" t="s">
        <v>64</v>
      </c>
    </row>
    <row r="101" spans="1:7" x14ac:dyDescent="0.3">
      <c r="B101" s="1" t="s">
        <v>65</v>
      </c>
      <c r="C101" s="1">
        <v>150</v>
      </c>
      <c r="D101" s="1">
        <v>160</v>
      </c>
      <c r="E101" s="1">
        <v>165</v>
      </c>
      <c r="F101" s="1">
        <v>170</v>
      </c>
      <c r="G101" s="1">
        <v>180</v>
      </c>
    </row>
    <row r="102" spans="1:7" x14ac:dyDescent="0.3">
      <c r="B102" s="1" t="s">
        <v>66</v>
      </c>
      <c r="C102" s="1">
        <v>50</v>
      </c>
      <c r="D102" s="1">
        <v>55</v>
      </c>
      <c r="E102" s="1">
        <v>58</v>
      </c>
      <c r="F102" s="1">
        <v>62</v>
      </c>
      <c r="G102" s="1">
        <v>70</v>
      </c>
    </row>
    <row r="104" spans="1:7" x14ac:dyDescent="0.3">
      <c r="A104" t="s">
        <v>1</v>
      </c>
      <c r="B104" t="s">
        <v>67</v>
      </c>
      <c r="D104">
        <f>AVERAGE(C101:G101)</f>
        <v>165</v>
      </c>
    </row>
    <row r="105" spans="1:7" x14ac:dyDescent="0.3">
      <c r="B105" t="s">
        <v>68</v>
      </c>
      <c r="D105">
        <f>AVERAGE(C102:G102)</f>
        <v>59</v>
      </c>
    </row>
    <row r="107" spans="1:7" x14ac:dyDescent="0.3">
      <c r="B107" t="s">
        <v>69</v>
      </c>
      <c r="D107">
        <f>CORREL(C101:G101,C102:G102)</f>
        <v>0.99218437024647965</v>
      </c>
    </row>
    <row r="109" spans="1:7" x14ac:dyDescent="0.3">
      <c r="A109" t="s">
        <v>70</v>
      </c>
    </row>
    <row r="110" spans="1:7" x14ac:dyDescent="0.3">
      <c r="B110" t="s">
        <v>71</v>
      </c>
    </row>
    <row r="112" spans="1:7" x14ac:dyDescent="0.3">
      <c r="B112" s="3" t="s">
        <v>72</v>
      </c>
      <c r="C112" s="3">
        <v>1</v>
      </c>
      <c r="D112" s="3">
        <v>2</v>
      </c>
      <c r="E112" s="3">
        <v>3</v>
      </c>
      <c r="F112" s="3">
        <v>4</v>
      </c>
      <c r="G112" s="3">
        <v>5</v>
      </c>
    </row>
    <row r="113" spans="1:8" x14ac:dyDescent="0.3">
      <c r="B113" s="3" t="s">
        <v>73</v>
      </c>
      <c r="C113" s="3">
        <v>15</v>
      </c>
      <c r="D113" s="3">
        <v>12</v>
      </c>
      <c r="E113" s="3">
        <v>9</v>
      </c>
      <c r="F113" s="3">
        <v>7</v>
      </c>
      <c r="G113" s="3">
        <v>3</v>
      </c>
    </row>
    <row r="116" spans="1:8" x14ac:dyDescent="0.3">
      <c r="A116" t="s">
        <v>1</v>
      </c>
      <c r="B116" t="s">
        <v>74</v>
      </c>
    </row>
    <row r="118" spans="1:8" x14ac:dyDescent="0.3">
      <c r="A118" t="s">
        <v>75</v>
      </c>
    </row>
    <row r="119" spans="1:8" x14ac:dyDescent="0.3">
      <c r="A119" t="s">
        <v>76</v>
      </c>
    </row>
    <row r="121" spans="1:8" x14ac:dyDescent="0.3">
      <c r="B121" s="3" t="s">
        <v>77</v>
      </c>
      <c r="C121" s="3" t="s">
        <v>78</v>
      </c>
      <c r="D121" s="3" t="s">
        <v>79</v>
      </c>
    </row>
    <row r="122" spans="1:8" x14ac:dyDescent="0.3">
      <c r="B122" s="3">
        <v>1</v>
      </c>
      <c r="C122" s="3">
        <v>8</v>
      </c>
      <c r="D122" s="3">
        <v>6</v>
      </c>
    </row>
    <row r="123" spans="1:8" x14ac:dyDescent="0.3">
      <c r="B123" s="3">
        <v>2</v>
      </c>
      <c r="C123" s="3">
        <v>10</v>
      </c>
      <c r="D123" s="3">
        <v>9</v>
      </c>
    </row>
    <row r="124" spans="1:8" x14ac:dyDescent="0.3">
      <c r="B124" s="3">
        <v>3</v>
      </c>
      <c r="C124" s="3">
        <v>12</v>
      </c>
      <c r="D124" s="3">
        <v>11</v>
      </c>
    </row>
    <row r="125" spans="1:8" x14ac:dyDescent="0.3">
      <c r="B125" s="3">
        <v>4</v>
      </c>
      <c r="C125" s="3">
        <v>9</v>
      </c>
      <c r="D125" s="3">
        <v>8</v>
      </c>
    </row>
    <row r="126" spans="1:8" x14ac:dyDescent="0.3">
      <c r="B126" s="3">
        <v>5</v>
      </c>
      <c r="C126" s="3">
        <v>11</v>
      </c>
      <c r="D126" s="3">
        <v>10</v>
      </c>
    </row>
    <row r="128" spans="1:8" x14ac:dyDescent="0.3">
      <c r="A128" t="s">
        <v>1</v>
      </c>
      <c r="B128" t="s">
        <v>82</v>
      </c>
      <c r="D128">
        <f>AVERAGE(C122:C126)</f>
        <v>10</v>
      </c>
      <c r="F128" t="s">
        <v>83</v>
      </c>
      <c r="H128">
        <f>AVERAGE(D122:D126)</f>
        <v>8.8000000000000007</v>
      </c>
    </row>
    <row r="129" spans="2:5" x14ac:dyDescent="0.3">
      <c r="B129" t="s">
        <v>80</v>
      </c>
      <c r="E129">
        <f>COVAR(C122:C126,D122:D126)</f>
        <v>2.4</v>
      </c>
    </row>
    <row r="130" spans="2:5" x14ac:dyDescent="0.3">
      <c r="B130" t="s">
        <v>81</v>
      </c>
      <c r="E130">
        <f>CORREL(C122:C126,D122:D126)</f>
        <v>0.98639392383214364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2026-01-17T09:39:25Z</dcterms:created>
  <dcterms:modified xsi:type="dcterms:W3CDTF">2026-01-18T04:37:36Z</dcterms:modified>
</cp:coreProperties>
</file>
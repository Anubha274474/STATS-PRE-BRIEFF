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Excel assignment\"/>
    </mc:Choice>
  </mc:AlternateContent>
  <xr:revisionPtr revIDLastSave="0" documentId="13_ncr:1_{F8383FE9-3875-46C6-BC23-875B63AB8892}" xr6:coauthVersionLast="47" xr6:coauthVersionMax="47" xr10:uidLastSave="{00000000-0000-0000-0000-000000000000}"/>
  <bookViews>
    <workbookView xWindow="-108" yWindow="-108" windowWidth="23256" windowHeight="12456" xr2:uid="{630FD13A-6BD6-4ECF-B600-F5C0B343B5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6" i="1" l="1"/>
  <c r="B134" i="1"/>
  <c r="C132" i="1"/>
  <c r="C131" i="1"/>
  <c r="C130" i="1"/>
  <c r="C129" i="1"/>
  <c r="B112" i="1"/>
  <c r="C110" i="1"/>
  <c r="C109" i="1"/>
  <c r="E100" i="1"/>
  <c r="E105" i="1"/>
  <c r="E104" i="1"/>
  <c r="E103" i="1"/>
  <c r="E102" i="1"/>
  <c r="E101" i="1"/>
  <c r="E91" i="1"/>
  <c r="E90" i="1"/>
  <c r="E89" i="1"/>
  <c r="E88" i="1"/>
  <c r="E87" i="1"/>
  <c r="E86" i="1"/>
  <c r="C59" i="1"/>
  <c r="C57" i="1"/>
</calcChain>
</file>

<file path=xl/sharedStrings.xml><?xml version="1.0" encoding="utf-8"?>
<sst xmlns="http://schemas.openxmlformats.org/spreadsheetml/2006/main" count="112" uniqueCount="95">
  <si>
    <t>Question 1: What is a null hypothesis (H₀) and why is it important in hypothesis testing?</t>
  </si>
  <si>
    <t>Answer-</t>
  </si>
  <si>
    <t>A null hypothesis (H₀) is a default statement that there is no effect, no difference, or no relationship between variables. It's important because it provides a basis for testing — you try to reject H₀ using data. If rejected, it suggests evidence for the alternative hypothesis (H₁).</t>
  </si>
  <si>
    <t>Question 2: What does the significance level (α) represent in hypothesis testing?</t>
  </si>
  <si>
    <t>The significance level (α) is like a threshold for deciding how surprising your data needs to be to reject the null hypothesis.</t>
  </si>
  <si>
    <t>- α = 0.05 means you'd expect to see your results (or more extreme) only 5% of the time if the null hypothesis is true.</t>
  </si>
  <si>
    <t>- If p-value &lt; α, you reject the null hypothesis, suggesting the data isn't likely under H₀.</t>
  </si>
  <si>
    <t>- Lower α (e.g., 0.01) means you need stronger evidence to reject H₀.</t>
  </si>
  <si>
    <t>Question 3: Differentiate between Type I and Type II errors.</t>
  </si>
  <si>
    <t>- Type I error (α): Rejecting the null hypothesis when it's actually true. (False positive)</t>
  </si>
  <si>
    <t>- Type II error (β): Failing to reject the null hypothesis when it's actually false. (False negative)</t>
  </si>
  <si>
    <t>Think of it like a court trial:</t>
  </si>
  <si>
    <t>- Type II error: Letting a guilty person go free.</t>
  </si>
  <si>
    <t>Question 4: Explain the difference between a one-tailed and two-tailed test. Give an example of each.</t>
  </si>
  <si>
    <t>One tail test-</t>
  </si>
  <si>
    <t>A one-tailed test checks if something is specifically higher or lower.</t>
  </si>
  <si>
    <t>Real-life example:</t>
  </si>
  <si>
    <t>- H₀: Fertilizer doesn't increase height.</t>
  </si>
  <si>
    <t>- H₁: Fertilizer increases height (one-tailed, looking for "greater than").</t>
  </si>
  <si>
    <t>You only care if plants are taller, not if they're shorter.</t>
  </si>
  <si>
    <t>Two tail testing-</t>
  </si>
  <si>
    <t>A two-tailed test checks if something is different (either higher or lower).</t>
  </si>
  <si>
    <t>- Scenario: Testing if a medicine changes blood pressure (it could increase or decrease it).</t>
  </si>
  <si>
    <t>- H₁: Medicine changes BP (two-tailed, looking for "different from").</t>
  </si>
  <si>
    <t>You care if BP goes up or down – any change matters.</t>
  </si>
  <si>
    <t>H₀: medicine has no effect on BP.</t>
  </si>
  <si>
    <t>Scenario: Testing If a new fertilizer makes plants grow taller.</t>
  </si>
  <si>
    <t xml:space="preserve"> Type I error: Convicting an innocent person.</t>
  </si>
  <si>
    <t>Question 5: A company claims that the average time to resolve a customer complaint is 10 minutes. A random sample of 9 complaints gives an average time of 12 minutes and a standard deviation of 3 minutes. At α = 0.05, test the claim.</t>
  </si>
  <si>
    <t>H0=</t>
  </si>
  <si>
    <t>H1=</t>
  </si>
  <si>
    <t>Avreage time will be not eqal to=10</t>
  </si>
  <si>
    <t>n=</t>
  </si>
  <si>
    <t>x=</t>
  </si>
  <si>
    <t>stD=</t>
  </si>
  <si>
    <t>a=</t>
  </si>
  <si>
    <t>t=</t>
  </si>
  <si>
    <t>(x bar-n)/(stD/sqrt of sample size)</t>
  </si>
  <si>
    <t>SAMPLE MEAN</t>
  </si>
  <si>
    <t>SAMPLE SIZE</t>
  </si>
  <si>
    <t>STANDARD DEVIATION</t>
  </si>
  <si>
    <t>SIGNIFICANT LEVEL</t>
  </si>
  <si>
    <t>DF=</t>
  </si>
  <si>
    <t>(N-1)</t>
  </si>
  <si>
    <t>Formula to calculate t test=(sample mean-Sample size)/(population mean/sqrt of sample size)</t>
  </si>
  <si>
    <t>Degree of freedom.</t>
  </si>
  <si>
    <t>calculated</t>
  </si>
  <si>
    <t>critical t=</t>
  </si>
  <si>
    <t>a=0.05</t>
  </si>
  <si>
    <t>df=8</t>
  </si>
  <si>
    <t>two tail test</t>
  </si>
  <si>
    <t>2&lt;2.306</t>
  </si>
  <si>
    <t>failled to reject null hypothesis.</t>
  </si>
  <si>
    <t>Question 6: When should you use a Z-test instead of a t-test?</t>
  </si>
  <si>
    <t>Use a Z-test when:</t>
  </si>
  <si>
    <t>- Sample size is large (n &gt; 30, roughly).</t>
  </si>
  <si>
    <t>Use a t-test when:</t>
  </si>
  <si>
    <t>- Sample size is small (n ≤ 30, typically).</t>
  </si>
  <si>
    <t>- Population σ is unknown (use sample s instead).</t>
  </si>
  <si>
    <t>In short: Z-test for big samples + known σ; t-test otherwise.</t>
  </si>
  <si>
    <t xml:space="preserve"> Population standard deviation (σ) is known.</t>
  </si>
  <si>
    <t>Question 7: The productivity of 6 employees was measured before and after a training program.</t>
  </si>
  <si>
    <t>Employee</t>
  </si>
  <si>
    <t>Before</t>
  </si>
  <si>
    <t>After</t>
  </si>
  <si>
    <t>At α = 0.05, test if the training improved productivity</t>
  </si>
  <si>
    <t>differences</t>
  </si>
  <si>
    <t>is that training did not improved the productivity</t>
  </si>
  <si>
    <t>is that training did improved the productivity</t>
  </si>
  <si>
    <t>step2-</t>
  </si>
  <si>
    <t>Calculate the differences for each employee.</t>
  </si>
  <si>
    <t>step3-</t>
  </si>
  <si>
    <t>compute the mean and std. of the differences.</t>
  </si>
  <si>
    <t>mean=</t>
  </si>
  <si>
    <t>std=</t>
  </si>
  <si>
    <t>t test=</t>
  </si>
  <si>
    <t>p&lt;a</t>
  </si>
  <si>
    <t>we will reject null hypothesis</t>
  </si>
  <si>
    <t>Question 8: A company wants to test if product preference is independent of gender.</t>
  </si>
  <si>
    <t> </t>
  </si>
  <si>
    <t>Gender</t>
  </si>
  <si>
    <t>Product A</t>
  </si>
  <si>
    <t>Producct B</t>
  </si>
  <si>
    <t>Total</t>
  </si>
  <si>
    <t>Male</t>
  </si>
  <si>
    <t>Female</t>
  </si>
  <si>
    <t>At a=0.05,test independence</t>
  </si>
  <si>
    <t>Step1= Calculate expected frequencies</t>
  </si>
  <si>
    <t>male A-</t>
  </si>
  <si>
    <t>male b-</t>
  </si>
  <si>
    <t>female a-</t>
  </si>
  <si>
    <t>female b-</t>
  </si>
  <si>
    <t>ANSWER=</t>
  </si>
  <si>
    <t>OUTPUT:P=0.000045</t>
  </si>
  <si>
    <t>REJECT HO PREFERENCE ARE NOT DEPENDENT ON GENDER.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</si>
</sst>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18226-2711-4408-9FB7-C652A7B4B925}">
  <dimension ref="A1:E141"/>
  <sheetViews>
    <sheetView tabSelected="1" topLeftCell="A76" workbookViewId="0">
      <selection activeCell="E97" sqref="E97"/>
    </sheetView>
  </sheetViews>
  <sheetFormatPr defaultRowHeight="14.4" x14ac:dyDescent="0.3"/>
  <cols>
    <col min="2" max="2" width="12" bestFit="1" customWidth="1"/>
    <col min="4" max="4" width="9.77734375" customWidth="1"/>
  </cols>
  <sheetData>
    <row r="1" spans="1:2" x14ac:dyDescent="0.3">
      <c r="A1" t="s">
        <v>0</v>
      </c>
    </row>
    <row r="3" spans="1:2" x14ac:dyDescent="0.3">
      <c r="A3" t="s">
        <v>1</v>
      </c>
      <c r="B3" t="s">
        <v>2</v>
      </c>
    </row>
    <row r="5" spans="1:2" x14ac:dyDescent="0.3">
      <c r="A5" t="s">
        <v>3</v>
      </c>
    </row>
    <row r="7" spans="1:2" x14ac:dyDescent="0.3">
      <c r="A7" t="s">
        <v>1</v>
      </c>
      <c r="B7" t="s">
        <v>4</v>
      </c>
    </row>
    <row r="9" spans="1:2" x14ac:dyDescent="0.3">
      <c r="B9" t="s">
        <v>5</v>
      </c>
    </row>
    <row r="10" spans="1:2" x14ac:dyDescent="0.3">
      <c r="B10" t="s">
        <v>6</v>
      </c>
    </row>
    <row r="11" spans="1:2" x14ac:dyDescent="0.3">
      <c r="B11" t="s">
        <v>7</v>
      </c>
    </row>
    <row r="13" spans="1:2" x14ac:dyDescent="0.3">
      <c r="A13" t="s">
        <v>8</v>
      </c>
    </row>
    <row r="15" spans="1:2" x14ac:dyDescent="0.3">
      <c r="A15" t="s">
        <v>1</v>
      </c>
      <c r="B15" t="s">
        <v>9</v>
      </c>
    </row>
    <row r="16" spans="1:2" x14ac:dyDescent="0.3">
      <c r="B16" t="s">
        <v>10</v>
      </c>
    </row>
    <row r="18" spans="1:2" x14ac:dyDescent="0.3">
      <c r="B18" t="s">
        <v>11</v>
      </c>
    </row>
    <row r="19" spans="1:2" x14ac:dyDescent="0.3">
      <c r="B19" t="s">
        <v>27</v>
      </c>
    </row>
    <row r="20" spans="1:2" x14ac:dyDescent="0.3">
      <c r="B20" t="s">
        <v>12</v>
      </c>
    </row>
    <row r="22" spans="1:2" x14ac:dyDescent="0.3">
      <c r="A22" t="s">
        <v>13</v>
      </c>
    </row>
    <row r="24" spans="1:2" x14ac:dyDescent="0.3">
      <c r="A24" t="s">
        <v>1</v>
      </c>
      <c r="B24" t="s">
        <v>14</v>
      </c>
    </row>
    <row r="26" spans="1:2" x14ac:dyDescent="0.3">
      <c r="B26" t="s">
        <v>15</v>
      </c>
    </row>
    <row r="28" spans="1:2" x14ac:dyDescent="0.3">
      <c r="B28" t="s">
        <v>16</v>
      </c>
    </row>
    <row r="29" spans="1:2" x14ac:dyDescent="0.3">
      <c r="B29" t="s">
        <v>26</v>
      </c>
    </row>
    <row r="30" spans="1:2" x14ac:dyDescent="0.3">
      <c r="B30" t="s">
        <v>17</v>
      </c>
    </row>
    <row r="31" spans="1:2" x14ac:dyDescent="0.3">
      <c r="B31" t="s">
        <v>18</v>
      </c>
    </row>
    <row r="33" spans="1:2" x14ac:dyDescent="0.3">
      <c r="B33" t="s">
        <v>19</v>
      </c>
    </row>
    <row r="35" spans="1:2" x14ac:dyDescent="0.3">
      <c r="B35" t="s">
        <v>20</v>
      </c>
    </row>
    <row r="37" spans="1:2" x14ac:dyDescent="0.3">
      <c r="B37" t="s">
        <v>21</v>
      </c>
    </row>
    <row r="39" spans="1:2" x14ac:dyDescent="0.3">
      <c r="B39" t="s">
        <v>16</v>
      </c>
    </row>
    <row r="40" spans="1:2" x14ac:dyDescent="0.3">
      <c r="B40" t="s">
        <v>22</v>
      </c>
    </row>
    <row r="41" spans="1:2" x14ac:dyDescent="0.3">
      <c r="B41" t="s">
        <v>25</v>
      </c>
    </row>
    <row r="42" spans="1:2" x14ac:dyDescent="0.3">
      <c r="B42" t="s">
        <v>23</v>
      </c>
    </row>
    <row r="44" spans="1:2" x14ac:dyDescent="0.3">
      <c r="B44" t="s">
        <v>24</v>
      </c>
    </row>
    <row r="47" spans="1:2" x14ac:dyDescent="0.3">
      <c r="A47" t="s">
        <v>28</v>
      </c>
    </row>
    <row r="49" spans="1:5" x14ac:dyDescent="0.3">
      <c r="A49" t="s">
        <v>1</v>
      </c>
      <c r="B49" t="s">
        <v>29</v>
      </c>
      <c r="C49">
        <v>10</v>
      </c>
    </row>
    <row r="50" spans="1:5" x14ac:dyDescent="0.3">
      <c r="B50" t="s">
        <v>30</v>
      </c>
      <c r="C50" t="s">
        <v>31</v>
      </c>
    </row>
    <row r="52" spans="1:5" x14ac:dyDescent="0.3">
      <c r="B52" t="s">
        <v>32</v>
      </c>
      <c r="C52">
        <v>9</v>
      </c>
      <c r="D52" t="s">
        <v>39</v>
      </c>
    </row>
    <row r="53" spans="1:5" x14ac:dyDescent="0.3">
      <c r="B53" t="s">
        <v>33</v>
      </c>
      <c r="C53">
        <v>12</v>
      </c>
      <c r="D53" t="s">
        <v>38</v>
      </c>
    </row>
    <row r="54" spans="1:5" x14ac:dyDescent="0.3">
      <c r="B54" t="s">
        <v>34</v>
      </c>
      <c r="C54">
        <v>3</v>
      </c>
      <c r="D54" t="s">
        <v>40</v>
      </c>
    </row>
    <row r="55" spans="1:5" x14ac:dyDescent="0.3">
      <c r="B55" t="s">
        <v>35</v>
      </c>
      <c r="C55">
        <v>0.05</v>
      </c>
      <c r="D55" t="s">
        <v>41</v>
      </c>
    </row>
    <row r="57" spans="1:5" x14ac:dyDescent="0.3">
      <c r="A57" t="s">
        <v>46</v>
      </c>
      <c r="B57" t="s">
        <v>36</v>
      </c>
      <c r="C57">
        <f>(C53-C49)/(C54=SQRT(C52))</f>
        <v>2</v>
      </c>
      <c r="E57" t="s">
        <v>44</v>
      </c>
    </row>
    <row r="59" spans="1:5" x14ac:dyDescent="0.3">
      <c r="B59" t="s">
        <v>42</v>
      </c>
      <c r="C59">
        <f>C52-1</f>
        <v>8</v>
      </c>
      <c r="E59" t="s">
        <v>37</v>
      </c>
    </row>
    <row r="60" spans="1:5" x14ac:dyDescent="0.3">
      <c r="B60" t="s">
        <v>43</v>
      </c>
    </row>
    <row r="61" spans="1:5" x14ac:dyDescent="0.3">
      <c r="B61" t="s">
        <v>42</v>
      </c>
      <c r="C61" t="s">
        <v>45</v>
      </c>
    </row>
    <row r="63" spans="1:5" x14ac:dyDescent="0.3">
      <c r="A63" t="s">
        <v>47</v>
      </c>
      <c r="B63" t="s">
        <v>48</v>
      </c>
    </row>
    <row r="64" spans="1:5" x14ac:dyDescent="0.3">
      <c r="B64" t="s">
        <v>49</v>
      </c>
    </row>
    <row r="65" spans="1:2" x14ac:dyDescent="0.3">
      <c r="B65" t="s">
        <v>50</v>
      </c>
    </row>
    <row r="66" spans="1:2" x14ac:dyDescent="0.3">
      <c r="A66" t="s">
        <v>47</v>
      </c>
      <c r="B66">
        <v>2.306</v>
      </c>
    </row>
    <row r="68" spans="1:2" x14ac:dyDescent="0.3">
      <c r="B68" t="s">
        <v>51</v>
      </c>
    </row>
    <row r="69" spans="1:2" x14ac:dyDescent="0.3">
      <c r="B69" t="s">
        <v>52</v>
      </c>
    </row>
    <row r="71" spans="1:2" x14ac:dyDescent="0.3">
      <c r="A71" t="s">
        <v>53</v>
      </c>
    </row>
    <row r="73" spans="1:2" x14ac:dyDescent="0.3">
      <c r="A73" t="s">
        <v>1</v>
      </c>
      <c r="B73" t="s">
        <v>54</v>
      </c>
    </row>
    <row r="74" spans="1:2" x14ac:dyDescent="0.3">
      <c r="B74" t="s">
        <v>55</v>
      </c>
    </row>
    <row r="75" spans="1:2" x14ac:dyDescent="0.3">
      <c r="B75" t="s">
        <v>60</v>
      </c>
    </row>
    <row r="77" spans="1:2" x14ac:dyDescent="0.3">
      <c r="B77" t="s">
        <v>56</v>
      </c>
    </row>
    <row r="78" spans="1:2" x14ac:dyDescent="0.3">
      <c r="B78" t="s">
        <v>57</v>
      </c>
    </row>
    <row r="79" spans="1:2" x14ac:dyDescent="0.3">
      <c r="B79" t="s">
        <v>58</v>
      </c>
    </row>
    <row r="81" spans="1:5" x14ac:dyDescent="0.3">
      <c r="B81" t="s">
        <v>59</v>
      </c>
    </row>
    <row r="83" spans="1:5" x14ac:dyDescent="0.3">
      <c r="A83" t="s">
        <v>61</v>
      </c>
    </row>
    <row r="85" spans="1:5" x14ac:dyDescent="0.3">
      <c r="B85" s="1" t="s">
        <v>62</v>
      </c>
      <c r="C85" s="1" t="s">
        <v>63</v>
      </c>
      <c r="D85" s="1" t="s">
        <v>64</v>
      </c>
      <c r="E85" t="s">
        <v>66</v>
      </c>
    </row>
    <row r="86" spans="1:5" x14ac:dyDescent="0.3">
      <c r="B86" s="1">
        <v>1</v>
      </c>
      <c r="C86" s="1">
        <v>50</v>
      </c>
      <c r="D86" s="1">
        <v>55</v>
      </c>
      <c r="E86">
        <f>D86-C86</f>
        <v>5</v>
      </c>
    </row>
    <row r="87" spans="1:5" x14ac:dyDescent="0.3">
      <c r="B87" s="1">
        <v>2</v>
      </c>
      <c r="C87" s="1">
        <v>60</v>
      </c>
      <c r="D87" s="1">
        <v>65</v>
      </c>
      <c r="E87">
        <f>D87-C87</f>
        <v>5</v>
      </c>
    </row>
    <row r="88" spans="1:5" x14ac:dyDescent="0.3">
      <c r="B88" s="1">
        <v>3</v>
      </c>
      <c r="C88" s="1">
        <v>58</v>
      </c>
      <c r="D88" s="1">
        <v>59</v>
      </c>
      <c r="E88">
        <f>D88-C88</f>
        <v>1</v>
      </c>
    </row>
    <row r="89" spans="1:5" x14ac:dyDescent="0.3">
      <c r="B89" s="1">
        <v>4</v>
      </c>
      <c r="C89" s="1">
        <v>55</v>
      </c>
      <c r="D89" s="1">
        <v>58</v>
      </c>
      <c r="E89">
        <f>D89-C89</f>
        <v>3</v>
      </c>
    </row>
    <row r="90" spans="1:5" x14ac:dyDescent="0.3">
      <c r="B90" s="1">
        <v>5</v>
      </c>
      <c r="C90" s="1">
        <v>62</v>
      </c>
      <c r="D90" s="1">
        <v>63</v>
      </c>
      <c r="E90">
        <f>D90-C90</f>
        <v>1</v>
      </c>
    </row>
    <row r="91" spans="1:5" x14ac:dyDescent="0.3">
      <c r="B91" s="1">
        <v>6</v>
      </c>
      <c r="C91" s="1">
        <v>56</v>
      </c>
      <c r="D91" s="1">
        <v>59</v>
      </c>
      <c r="E91">
        <f>D91-C91</f>
        <v>3</v>
      </c>
    </row>
    <row r="92" spans="1:5" x14ac:dyDescent="0.3">
      <c r="B92" t="s">
        <v>65</v>
      </c>
    </row>
    <row r="94" spans="1:5" x14ac:dyDescent="0.3">
      <c r="A94" t="s">
        <v>1</v>
      </c>
      <c r="B94" t="s">
        <v>29</v>
      </c>
      <c r="C94" t="s">
        <v>67</v>
      </c>
    </row>
    <row r="95" spans="1:5" x14ac:dyDescent="0.3">
      <c r="B95" t="s">
        <v>30</v>
      </c>
      <c r="C95" t="s">
        <v>68</v>
      </c>
    </row>
    <row r="97" spans="1:5" x14ac:dyDescent="0.3">
      <c r="A97" t="s">
        <v>69</v>
      </c>
      <c r="B97" t="s">
        <v>70</v>
      </c>
    </row>
    <row r="99" spans="1:5" x14ac:dyDescent="0.3">
      <c r="B99" s="2" t="s">
        <v>62</v>
      </c>
      <c r="C99" s="2" t="s">
        <v>63</v>
      </c>
      <c r="D99" s="2" t="s">
        <v>64</v>
      </c>
      <c r="E99" s="2" t="s">
        <v>66</v>
      </c>
    </row>
    <row r="100" spans="1:5" x14ac:dyDescent="0.3">
      <c r="B100" s="1">
        <v>1</v>
      </c>
      <c r="C100" s="1">
        <v>50</v>
      </c>
      <c r="D100" s="1">
        <v>55</v>
      </c>
      <c r="E100" s="1">
        <f>D100-C100</f>
        <v>5</v>
      </c>
    </row>
    <row r="101" spans="1:5" x14ac:dyDescent="0.3">
      <c r="B101" s="1">
        <v>2</v>
      </c>
      <c r="C101" s="1">
        <v>60</v>
      </c>
      <c r="D101" s="1">
        <v>65</v>
      </c>
      <c r="E101" s="1">
        <f>D101-C101</f>
        <v>5</v>
      </c>
    </row>
    <row r="102" spans="1:5" x14ac:dyDescent="0.3">
      <c r="B102" s="1">
        <v>3</v>
      </c>
      <c r="C102" s="1">
        <v>58</v>
      </c>
      <c r="D102" s="1">
        <v>59</v>
      </c>
      <c r="E102" s="1">
        <f>D102-C102</f>
        <v>1</v>
      </c>
    </row>
    <row r="103" spans="1:5" x14ac:dyDescent="0.3">
      <c r="B103" s="1">
        <v>4</v>
      </c>
      <c r="C103" s="1">
        <v>55</v>
      </c>
      <c r="D103" s="1">
        <v>58</v>
      </c>
      <c r="E103" s="1">
        <f>D103-C103</f>
        <v>3</v>
      </c>
    </row>
    <row r="104" spans="1:5" x14ac:dyDescent="0.3">
      <c r="B104" s="1">
        <v>5</v>
      </c>
      <c r="C104" s="1">
        <v>62</v>
      </c>
      <c r="D104" s="1">
        <v>63</v>
      </c>
      <c r="E104" s="1">
        <f>D104-C104</f>
        <v>1</v>
      </c>
    </row>
    <row r="105" spans="1:5" x14ac:dyDescent="0.3">
      <c r="B105" s="1">
        <v>6</v>
      </c>
      <c r="C105" s="1">
        <v>56</v>
      </c>
      <c r="D105" s="1">
        <v>59</v>
      </c>
      <c r="E105" s="1">
        <f>D105-C105</f>
        <v>3</v>
      </c>
    </row>
    <row r="107" spans="1:5" x14ac:dyDescent="0.3">
      <c r="A107" t="s">
        <v>71</v>
      </c>
      <c r="B107" t="s">
        <v>72</v>
      </c>
    </row>
    <row r="109" spans="1:5" x14ac:dyDescent="0.3">
      <c r="B109" t="s">
        <v>73</v>
      </c>
      <c r="C109">
        <f>AVERAGE(E100:E105)</f>
        <v>3</v>
      </c>
    </row>
    <row r="110" spans="1:5" x14ac:dyDescent="0.3">
      <c r="B110" t="s">
        <v>74</v>
      </c>
      <c r="C110">
        <f>_xlfn.STDEV.S(E100:E105)</f>
        <v>1.7888543819998317</v>
      </c>
    </row>
    <row r="112" spans="1:5" x14ac:dyDescent="0.3">
      <c r="A112" t="s">
        <v>75</v>
      </c>
      <c r="B112">
        <f>_xlfn.T.TEST(C100:C105,D100:D105,1,1)</f>
        <v>4.6413525173689676E-3</v>
      </c>
    </row>
    <row r="113" spans="1:5" x14ac:dyDescent="0.3">
      <c r="B113" t="s">
        <v>76</v>
      </c>
    </row>
    <row r="114" spans="1:5" x14ac:dyDescent="0.3">
      <c r="B114" t="s">
        <v>77</v>
      </c>
    </row>
    <row r="117" spans="1:5" x14ac:dyDescent="0.3">
      <c r="A117" t="s">
        <v>78</v>
      </c>
    </row>
    <row r="118" spans="1:5" x14ac:dyDescent="0.3">
      <c r="A118" t="s">
        <v>79</v>
      </c>
    </row>
    <row r="119" spans="1:5" x14ac:dyDescent="0.3">
      <c r="A119" t="s">
        <v>79</v>
      </c>
      <c r="B119" s="2" t="s">
        <v>80</v>
      </c>
      <c r="C119" s="2" t="s">
        <v>81</v>
      </c>
      <c r="D119" s="2" t="s">
        <v>82</v>
      </c>
      <c r="E119" s="2" t="s">
        <v>83</v>
      </c>
    </row>
    <row r="120" spans="1:5" x14ac:dyDescent="0.3">
      <c r="B120" s="1" t="s">
        <v>84</v>
      </c>
      <c r="C120" s="1">
        <v>30</v>
      </c>
      <c r="D120" s="1">
        <v>20</v>
      </c>
      <c r="E120" s="1">
        <v>50</v>
      </c>
    </row>
    <row r="121" spans="1:5" x14ac:dyDescent="0.3">
      <c r="B121" s="1" t="s">
        <v>85</v>
      </c>
      <c r="C121" s="1">
        <v>10</v>
      </c>
      <c r="D121" s="1">
        <v>40</v>
      </c>
      <c r="E121" s="1">
        <v>50</v>
      </c>
    </row>
    <row r="122" spans="1:5" x14ac:dyDescent="0.3">
      <c r="B122" s="1" t="s">
        <v>83</v>
      </c>
      <c r="C122" s="1">
        <v>40</v>
      </c>
      <c r="D122" s="1">
        <v>60</v>
      </c>
      <c r="E122" s="1">
        <v>100</v>
      </c>
    </row>
    <row r="124" spans="1:5" x14ac:dyDescent="0.3">
      <c r="B124" t="s">
        <v>86</v>
      </c>
    </row>
    <row r="126" spans="1:5" x14ac:dyDescent="0.3">
      <c r="A126" t="s">
        <v>92</v>
      </c>
    </row>
    <row r="127" spans="1:5" x14ac:dyDescent="0.3">
      <c r="A127" t="s">
        <v>87</v>
      </c>
    </row>
    <row r="129" spans="1:3" x14ac:dyDescent="0.3">
      <c r="B129" t="s">
        <v>88</v>
      </c>
      <c r="C129">
        <f>E120*C122/E122</f>
        <v>20</v>
      </c>
    </row>
    <row r="130" spans="1:3" x14ac:dyDescent="0.3">
      <c r="B130" t="s">
        <v>89</v>
      </c>
      <c r="C130">
        <f>E121*D122/E122</f>
        <v>30</v>
      </c>
    </row>
    <row r="131" spans="1:3" x14ac:dyDescent="0.3">
      <c r="B131" t="s">
        <v>90</v>
      </c>
      <c r="C131">
        <f>E120*C122/E122</f>
        <v>20</v>
      </c>
    </row>
    <row r="132" spans="1:3" x14ac:dyDescent="0.3">
      <c r="B132" t="s">
        <v>91</v>
      </c>
      <c r="C132">
        <f>E121*D122/E122</f>
        <v>30</v>
      </c>
    </row>
    <row r="134" spans="1:3" x14ac:dyDescent="0.3">
      <c r="B134" t="e">
        <f>_xlfn.CHISQ.TEST(C120:D120,C120:D122)</f>
        <v>#N/A</v>
      </c>
    </row>
    <row r="136" spans="1:3" x14ac:dyDescent="0.3">
      <c r="B136">
        <f>_xlfn.CHISQ.TEST({30,20;10,40},{20,30;20,30})</f>
        <v>4.4557090604056044E-5</v>
      </c>
    </row>
    <row r="139" spans="1:3" x14ac:dyDescent="0.3">
      <c r="A139" t="s">
        <v>93</v>
      </c>
    </row>
    <row r="141" spans="1:3" x14ac:dyDescent="0.3">
      <c r="A14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 kumar</dc:creator>
  <cp:lastModifiedBy>anant kumar</cp:lastModifiedBy>
  <dcterms:created xsi:type="dcterms:W3CDTF">2026-01-08T07:18:09Z</dcterms:created>
  <dcterms:modified xsi:type="dcterms:W3CDTF">2026-01-11T09:07:04Z</dcterms:modified>
</cp:coreProperties>
</file>